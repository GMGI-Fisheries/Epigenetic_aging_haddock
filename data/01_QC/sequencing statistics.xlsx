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oxDrive\Box\Science\Fisheries\Projects\Epigenetic Aging\github\Epigenetic_aging_haddock\data\01_QC\"/>
    </mc:Choice>
  </mc:AlternateContent>
  <xr:revisionPtr revIDLastSave="0" documentId="13_ncr:1_{1D3D2F1A-8358-4686-9000-E5DCBD06C9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13" i="1" l="1"/>
  <c r="H12" i="1"/>
  <c r="H11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H7" i="1"/>
  <c r="I4" i="1"/>
  <c r="I3" i="1"/>
  <c r="I2" i="1"/>
  <c r="H4" i="1"/>
  <c r="H3" i="1"/>
  <c r="H2" i="1"/>
</calcChain>
</file>

<file path=xl/sharedStrings.xml><?xml version="1.0" encoding="utf-8"?>
<sst xmlns="http://schemas.openxmlformats.org/spreadsheetml/2006/main" count="298" uniqueCount="296">
  <si>
    <t>Sample Name</t>
  </si>
  <si>
    <t>% Dups</t>
  </si>
  <si>
    <t>% GC</t>
  </si>
  <si>
    <t>M Seqs</t>
  </si>
  <si>
    <t>Mae-263_S1_R1_001</t>
  </si>
  <si>
    <t>Mae-263_S1_R2_001</t>
  </si>
  <si>
    <t>Mae-265_S1_R2_001</t>
  </si>
  <si>
    <t>Mae-266_S2_R1_001</t>
  </si>
  <si>
    <t>Mae-266_S2_R2_001</t>
  </si>
  <si>
    <t>Mae-271_S2_R1_001</t>
  </si>
  <si>
    <t>Mae-271_S2_R2_001</t>
  </si>
  <si>
    <t>Mae-274_S3_R1_001</t>
  </si>
  <si>
    <t>Mae-274_S3_R2_001</t>
  </si>
  <si>
    <t>Mae-275_S3_R1_001</t>
  </si>
  <si>
    <t>Mae-275_S3_R2_001</t>
  </si>
  <si>
    <t>Mae-278_S4_R1_001</t>
  </si>
  <si>
    <t>Mae-278_S4_R2_001</t>
  </si>
  <si>
    <t>Mae-281_S5_R1_001</t>
  </si>
  <si>
    <t>Mae-281_S5_R2_001</t>
  </si>
  <si>
    <t>Mae-282_S4_R1_001</t>
  </si>
  <si>
    <t>Mae-282_S4_R2_001</t>
  </si>
  <si>
    <t>Mae-284_S5_R1_001</t>
  </si>
  <si>
    <t>Mae-284_S5_R2_001</t>
  </si>
  <si>
    <t>Mae-285_S6_R1_001</t>
  </si>
  <si>
    <t>Mae-285_S6_R2_001</t>
  </si>
  <si>
    <t>Mae-286_S6_R1_001</t>
  </si>
  <si>
    <t>Mae-286_S6_R2_001</t>
  </si>
  <si>
    <t>Mae-288_S7_R1_001</t>
  </si>
  <si>
    <t>Mae-288_S7_R2_001</t>
  </si>
  <si>
    <t>Mae-292_S8_R1_001</t>
  </si>
  <si>
    <t>Mae-292_S8_R2_001</t>
  </si>
  <si>
    <t>Mae-293_S7_R1_001</t>
  </si>
  <si>
    <t>Mae-293_S7_R2_001</t>
  </si>
  <si>
    <t>Mae-294_S8_R1_001</t>
  </si>
  <si>
    <t>Mae-294_S8_R2_001</t>
  </si>
  <si>
    <t>Mae-295_S9_R1_001</t>
  </si>
  <si>
    <t>Mae-295_S9_R2_001</t>
  </si>
  <si>
    <t>Mae-298_S10_R1_001</t>
  </si>
  <si>
    <t>Mae-298_S10_R2_001</t>
  </si>
  <si>
    <t>Mae-299_S9_R1_001</t>
  </si>
  <si>
    <t>Mae-299_S9_R2_001</t>
  </si>
  <si>
    <t>Mae-300_S10_R1_001</t>
  </si>
  <si>
    <t>Mae-300_S10_R2_001</t>
  </si>
  <si>
    <t>Mae-302_S11_R1_001</t>
  </si>
  <si>
    <t>Mae-302_S11_R2_001</t>
  </si>
  <si>
    <t>Mae-303_S11_R1_001</t>
  </si>
  <si>
    <t>Mae-303_S11_R2_001</t>
  </si>
  <si>
    <t>Mae-304_S12_R1_001</t>
  </si>
  <si>
    <t>Mae-304_S12_R2_001</t>
  </si>
  <si>
    <t>Mae-305_S12_R1_001</t>
  </si>
  <si>
    <t>Mae-305_S12_R2_001</t>
  </si>
  <si>
    <t>Mae-310_S13_R1_001</t>
  </si>
  <si>
    <t>Mae-310_S13_R2_001</t>
  </si>
  <si>
    <t>Mae-311_S14_R1_001</t>
  </si>
  <si>
    <t>Mae-311_S14_R2_001</t>
  </si>
  <si>
    <t>Mae-317_S15_R1_001</t>
  </si>
  <si>
    <t>Mae-317_S15_R2_001</t>
  </si>
  <si>
    <t>Mae-322_S16_R1_001</t>
  </si>
  <si>
    <t>Mae-322_S16_R2_001</t>
  </si>
  <si>
    <t>Mae-324_S13_R1_001</t>
  </si>
  <si>
    <t>Mae-324_S13_R2_001</t>
  </si>
  <si>
    <t>Mae-325_S14_R1_001</t>
  </si>
  <si>
    <t>Mae-325_S14_R2_001</t>
  </si>
  <si>
    <t>Mae-327_S17_R1_001</t>
  </si>
  <si>
    <t>Mae-327_S17_R2_001</t>
  </si>
  <si>
    <t>Mae-329_S18_R1_001</t>
  </si>
  <si>
    <t>Mae-329_S18_R2_001</t>
  </si>
  <si>
    <t>Mae-330_S19_R1_001</t>
  </si>
  <si>
    <t>Mae-330_S19_R2_001</t>
  </si>
  <si>
    <t>Mae-331_S15_R1_001</t>
  </si>
  <si>
    <t>Mae-331_S15_R2_001</t>
  </si>
  <si>
    <t>Mae-332_S16_R1_001</t>
  </si>
  <si>
    <t>Mae-332_S16_R2_001</t>
  </si>
  <si>
    <t>Mae-334_S17_R1_001</t>
  </si>
  <si>
    <t>Mae-334_S17_R2_001</t>
  </si>
  <si>
    <t>Mae-337_S18_R1_001</t>
  </si>
  <si>
    <t>Mae-337_S18_R2_001</t>
  </si>
  <si>
    <t>Mae-338_S20_R1_001</t>
  </si>
  <si>
    <t>Mae-338_S20_R2_001</t>
  </si>
  <si>
    <t>Mae-340_S19_R1_001</t>
  </si>
  <si>
    <t>Mae-340_S19_R2_001</t>
  </si>
  <si>
    <t>Mae-342_S21_R1_001</t>
  </si>
  <si>
    <t>Mae-342_S21_R2_001</t>
  </si>
  <si>
    <t>Mae-343_S22_R1_001</t>
  </si>
  <si>
    <t>Mae-343_S22_R2_001</t>
  </si>
  <si>
    <t>Mae-344_S23_R1_001</t>
  </si>
  <si>
    <t>Mae-344_S23_R2_001</t>
  </si>
  <si>
    <t>Mae-346_S20_R1_001</t>
  </si>
  <si>
    <t>Mae-346_S20_R2_001</t>
  </si>
  <si>
    <t>Mae-348_S21_R1_001</t>
  </si>
  <si>
    <t>Mae-348_S21_R2_001</t>
  </si>
  <si>
    <t>Mae-350_S24_R1_001</t>
  </si>
  <si>
    <t>Mae-350_S24_R2_001</t>
  </si>
  <si>
    <t>Mae-351_S22_R1_001</t>
  </si>
  <si>
    <t>Mae-351_S22_R2_001</t>
  </si>
  <si>
    <t>Mae-352_S25_R1_001</t>
  </si>
  <si>
    <t>Mae-352_S25_R2_001</t>
  </si>
  <si>
    <t>Mae-355_S23_R1_001</t>
  </si>
  <si>
    <t>Mae-355_S23_R2_001</t>
  </si>
  <si>
    <t>Mae-356_S26_R1_001</t>
  </si>
  <si>
    <t>Mae-356_S26_R2_001</t>
  </si>
  <si>
    <t>Mae-358_S24_R1_001</t>
  </si>
  <si>
    <t>Mae-358_S24_R2_001</t>
  </si>
  <si>
    <t>Mae-363_S25_R1_001</t>
  </si>
  <si>
    <t>Mae-363_S25_R2_001</t>
  </si>
  <si>
    <t>Mae-364_S26_R1_001</t>
  </si>
  <si>
    <t>Mae-364_S26_R2_001</t>
  </si>
  <si>
    <t>Mae-366_S27_R1_001</t>
  </si>
  <si>
    <t>Mae-366_S27_R2_001</t>
  </si>
  <si>
    <t>Mae-368_S27_R1_001</t>
  </si>
  <si>
    <t>Mae-368_S27_R2_001</t>
  </si>
  <si>
    <t>Mae-371_S28_R1_001</t>
  </si>
  <si>
    <t>Mae-371_S28_R2_001</t>
  </si>
  <si>
    <t>Mae-374_S28_R1_001</t>
  </si>
  <si>
    <t>Mae-374_S28_R2_001</t>
  </si>
  <si>
    <t>Mae-377_S29_R1_001</t>
  </si>
  <si>
    <t>Mae-377_S29_R2_001</t>
  </si>
  <si>
    <t>Mae-378_S29_R1_001</t>
  </si>
  <si>
    <t>Mae-378_S29_R2_001</t>
  </si>
  <si>
    <t>Mae-379_S71_R1_001</t>
  </si>
  <si>
    <t>Mae-379_S71_R2_001</t>
  </si>
  <si>
    <t>Mae-381_S30_R1_001</t>
  </si>
  <si>
    <t>Mae-381_S30_R2_001</t>
  </si>
  <si>
    <t>Mae-384_S72_R1_001</t>
  </si>
  <si>
    <t>Mae-384_S72_R2_001</t>
  </si>
  <si>
    <t>Mae-386_S31_R1_001</t>
  </si>
  <si>
    <t>Mae-386_S31_R2_001</t>
  </si>
  <si>
    <t>Mae-390_S32_R1_001</t>
  </si>
  <si>
    <t>Mae-390_S32_R2_001</t>
  </si>
  <si>
    <t>Mae-394_S32_R1_001</t>
  </si>
  <si>
    <t>Mae-394_S32_R2_001</t>
  </si>
  <si>
    <t>Mae-396_S33_R1_001</t>
  </si>
  <si>
    <t>Mae-396_S33_R2_001</t>
  </si>
  <si>
    <t>Mae-398_S33_R1_001</t>
  </si>
  <si>
    <t>Mae-398_S33_R2_001</t>
  </si>
  <si>
    <t>Mae-399_S34_R1_001</t>
  </si>
  <si>
    <t>Mae-399_S34_R2_001</t>
  </si>
  <si>
    <t>Mae-403_S35_R1_001</t>
  </si>
  <si>
    <t>Mae-403_S35_R2_001</t>
  </si>
  <si>
    <t>Mae-404_S34_R1_001</t>
  </si>
  <si>
    <t>Mae-404_S34_R2_001</t>
  </si>
  <si>
    <t>Mae-405_S36_R1_001</t>
  </si>
  <si>
    <t>Mae-405_S36_R2_001</t>
  </si>
  <si>
    <t>Mae-407_S35_R1_001</t>
  </si>
  <si>
    <t>Mae-407_S35_R2_001</t>
  </si>
  <si>
    <t>Mae-409_S36_R1_001</t>
  </si>
  <si>
    <t>Mae-409_S36_R2_001</t>
  </si>
  <si>
    <t>Mae-410_S37_R1_001</t>
  </si>
  <si>
    <t>Mae-410_S37_R2_001</t>
  </si>
  <si>
    <t>Mae-412_S37_R1_001</t>
  </si>
  <si>
    <t>Mae-412_S37_R2_001</t>
  </si>
  <si>
    <t>Mae-414_S38_R1_001</t>
  </si>
  <si>
    <t>Mae-414_S38_R2_001</t>
  </si>
  <si>
    <t>Mae-418_S38_R1_001</t>
  </si>
  <si>
    <t>Mae-418_S38_R2_001</t>
  </si>
  <si>
    <t>Mae-421_S39_R1_001</t>
  </si>
  <si>
    <t>Mae-421_S39_R2_001</t>
  </si>
  <si>
    <t>Mae-422_S40_R1_001</t>
  </si>
  <si>
    <t>Mae-422_S40_R2_001</t>
  </si>
  <si>
    <t>Mae-423_S39_R1_001</t>
  </si>
  <si>
    <t>Mae-423_S39_R2_001</t>
  </si>
  <si>
    <t>Mae-424_S41_R1_001</t>
  </si>
  <si>
    <t>Mae-424_S41_R2_001</t>
  </si>
  <si>
    <t>Mae-426_S40_R1_001</t>
  </si>
  <si>
    <t>Mae-426_S40_R2_001</t>
  </si>
  <si>
    <t>Mae-428_S42_R1_001</t>
  </si>
  <si>
    <t>Mae-428_S42_R2_001</t>
  </si>
  <si>
    <t>Mae-430_S51_R1_001</t>
  </si>
  <si>
    <t>Mae-430_S51_R2_001</t>
  </si>
  <si>
    <t>Mae-431_S41_R1_001</t>
  </si>
  <si>
    <t>Mae-431_S41_R2_001</t>
  </si>
  <si>
    <t>Mae-432_S43_R1_001</t>
  </si>
  <si>
    <t>Mae-432_S43_R2_001</t>
  </si>
  <si>
    <t>Mae-435_S42_R1_001</t>
  </si>
  <si>
    <t>Mae-435_S42_R2_001</t>
  </si>
  <si>
    <t>Mae-436_S44_R1_001</t>
  </si>
  <si>
    <t>Mae-436_S44_R2_001</t>
  </si>
  <si>
    <t>Mae-438_S43_R1_001</t>
  </si>
  <si>
    <t>Mae-438_S43_R2_001</t>
  </si>
  <si>
    <t>Mae-440_S45_R1_001</t>
  </si>
  <si>
    <t>Mae-440_S45_R2_001</t>
  </si>
  <si>
    <t>Mae-441_S46_R1_001</t>
  </si>
  <si>
    <t>Mae-441_S46_R2_001</t>
  </si>
  <si>
    <t>Mae-443_S44_R1_001</t>
  </si>
  <si>
    <t>Mae-443_S44_R2_001</t>
  </si>
  <si>
    <t>Mae-447_S45_R1_001</t>
  </si>
  <si>
    <t>Mae-447_S45_R2_001</t>
  </si>
  <si>
    <t>Mae-449_S48_R1_001</t>
  </si>
  <si>
    <t>Mae-449_S48_R2_001</t>
  </si>
  <si>
    <t>Mae-450_S46_R1_001</t>
  </si>
  <si>
    <t>Mae-450_S46_R2_001</t>
  </si>
  <si>
    <t>Mae-451_S47_R1_001</t>
  </si>
  <si>
    <t>Mae-451_S47_R2_001</t>
  </si>
  <si>
    <t>Mae-454_S49_R1_001</t>
  </si>
  <si>
    <t>Mae-454_S49_R2_001</t>
  </si>
  <si>
    <t>Mae-456_S48_R1_001</t>
  </si>
  <si>
    <t>Mae-456_S48_R2_001</t>
  </si>
  <si>
    <t>Mae-458_S49_R1_001</t>
  </si>
  <si>
    <t>Mae-458_S49_R2_001</t>
  </si>
  <si>
    <t>Mae-459_S50_R1_001</t>
  </si>
  <si>
    <t>Mae-459_S50_R2_001</t>
  </si>
  <si>
    <t>Mae-464_S50_R1_001</t>
  </si>
  <si>
    <t>Mae-464_S50_R2_001</t>
  </si>
  <si>
    <t>Mae-466_S52_R1_001</t>
  </si>
  <si>
    <t>Mae-466_S52_R2_001</t>
  </si>
  <si>
    <t>Mae-468_S51_R1_001</t>
  </si>
  <si>
    <t>Mae-468_S51_R2_001</t>
  </si>
  <si>
    <t>Mae-470_S52_R1_001</t>
  </si>
  <si>
    <t>Mae-470_S52_R2_001</t>
  </si>
  <si>
    <t>Mae-472_S53_R1_001</t>
  </si>
  <si>
    <t>Mae-472_S53_R2_001</t>
  </si>
  <si>
    <t>Mae-473_S54_R1_001</t>
  </si>
  <si>
    <t>Mae-473_S54_R2_001</t>
  </si>
  <si>
    <t>Mae-474_S57_R1_001</t>
  </si>
  <si>
    <t>Mae-474_S57_R2_001</t>
  </si>
  <si>
    <t>Mae-475_S53_R1_001</t>
  </si>
  <si>
    <t>Mae-475_S53_R2_001</t>
  </si>
  <si>
    <t>Mae-477_S54_R1_001</t>
  </si>
  <si>
    <t>Mae-477_S54_R2_001</t>
  </si>
  <si>
    <t>Mae-479_S55_R1_001</t>
  </si>
  <si>
    <t>Mae-479_S55_R2_001</t>
  </si>
  <si>
    <t>Mae-481_S55_R1_001</t>
  </si>
  <si>
    <t>Mae-481_S55_R2_001</t>
  </si>
  <si>
    <t>Mae-482_S56_R1_001</t>
  </si>
  <si>
    <t>Mae-482_S56_R2_001</t>
  </si>
  <si>
    <t>Mae-486_S57_R1_001</t>
  </si>
  <si>
    <t>Mae-486_S57_R2_001</t>
  </si>
  <si>
    <t>Mae-488_S56_R1_001</t>
  </si>
  <si>
    <t>Mae-488_S56_R2_001</t>
  </si>
  <si>
    <t>Mae-494_S58_R1_001</t>
  </si>
  <si>
    <t>Mae-494_S58_R2_001</t>
  </si>
  <si>
    <t>Mae-495_S47_R1_001</t>
  </si>
  <si>
    <t>Mae-495_S47_R2_001</t>
  </si>
  <si>
    <t>Mae-496_S58_R1_001</t>
  </si>
  <si>
    <t>Mae-496_S58_R2_001</t>
  </si>
  <si>
    <t>Mae-499_S59_R1_001</t>
  </si>
  <si>
    <t>Mae-499_S59_R2_001</t>
  </si>
  <si>
    <t>Mae-500_S59_R1_001</t>
  </si>
  <si>
    <t>Mae-500_S59_R2_001</t>
  </si>
  <si>
    <t>Mae-501_S60_R1_001</t>
  </si>
  <si>
    <t>Mae-501_S60_R2_001</t>
  </si>
  <si>
    <t>Mae-502_S61_R1_001</t>
  </si>
  <si>
    <t>Mae-502_S61_R2_001</t>
  </si>
  <si>
    <t>Mae-504_S60_R1_001</t>
  </si>
  <si>
    <t>Mae-504_S60_R2_001</t>
  </si>
  <si>
    <t>Mae-508_S61_R1_001</t>
  </si>
  <si>
    <t>Mae-508_S61_R2_001</t>
  </si>
  <si>
    <t>Mae-509_S62_R1_001</t>
  </si>
  <si>
    <t>Mae-509_S62_R2_001</t>
  </si>
  <si>
    <t>Mae-510_S62_R1_001</t>
  </si>
  <si>
    <t>Mae-510_S62_R2_001</t>
  </si>
  <si>
    <t>Mae-511_S63_R1_001</t>
  </si>
  <si>
    <t>Mae-511_S63_R2_001</t>
  </si>
  <si>
    <t>Mae-512_S63_R1_001</t>
  </si>
  <si>
    <t>Mae-512_S63_R2_001</t>
  </si>
  <si>
    <t>Mae-517_S64_R1_001</t>
  </si>
  <si>
    <t>Mae-517_S64_R2_001</t>
  </si>
  <si>
    <t>Mae-518_S65_R1_001</t>
  </si>
  <si>
    <t>Mae-518_S65_R2_001</t>
  </si>
  <si>
    <t>Mae-519_S64_R1_001</t>
  </si>
  <si>
    <t>Mae-519_S64_R2_001</t>
  </si>
  <si>
    <t>Mae-520_S65_R1_001</t>
  </si>
  <si>
    <t>Mae-520_S65_R2_001</t>
  </si>
  <si>
    <t>Mae-522_S66_R1_001</t>
  </si>
  <si>
    <t>Mae-522_S66_R2_001</t>
  </si>
  <si>
    <t>Mae-523_S67_R1_001</t>
  </si>
  <si>
    <t>Mae-523_S67_R2_001</t>
  </si>
  <si>
    <t>Mae-524_S66_R1_001</t>
  </si>
  <si>
    <t>Mae-524_S66_R2_001</t>
  </si>
  <si>
    <t>Mae-525_S67_R1_001</t>
  </si>
  <si>
    <t>Mae-525_S67_R2_001</t>
  </si>
  <si>
    <t>Mae-530_S68_R1_001</t>
  </si>
  <si>
    <t>Mae-530_S68_R2_001</t>
  </si>
  <si>
    <t>Mae-533_S68_R1_001</t>
  </si>
  <si>
    <t>Mae-533_S68_R2_001</t>
  </si>
  <si>
    <t>Mae-534_S69_R1_001</t>
  </si>
  <si>
    <t>Mae-534_S69_R2_001</t>
  </si>
  <si>
    <t>Mae-535_S69_R1_001</t>
  </si>
  <si>
    <t>Mae-535_S69_R2_001</t>
  </si>
  <si>
    <t>Mae-536_S70_R1_001</t>
  </si>
  <si>
    <t>Mae-536_S70_R2_001</t>
  </si>
  <si>
    <t>Mae-537_S70_R1_001</t>
  </si>
  <si>
    <t>Mae-537_S70_R2_001</t>
  </si>
  <si>
    <t>Mean M Seqs</t>
  </si>
  <si>
    <t>Mean % GC</t>
  </si>
  <si>
    <t>Mean % Dups</t>
  </si>
  <si>
    <t>Coverage</t>
  </si>
  <si>
    <t>Genome size</t>
  </si>
  <si>
    <t>Mb</t>
  </si>
  <si>
    <t>bp</t>
  </si>
  <si>
    <t>Read length</t>
  </si>
  <si>
    <t>Bp</t>
  </si>
  <si>
    <t>X</t>
  </si>
  <si>
    <t>Average Coverage</t>
  </si>
  <si>
    <t>Minimum Coverage</t>
  </si>
  <si>
    <t>Maximum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</si>
</sst>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"/>
  <sheetViews>
    <sheetView tabSelected="1" zoomScaleNormal="100" workbookViewId="0">
      <selection activeCell="M20" sqref="M20"/>
    </sheetView>
  </sheetViews>
  <sheetFormatPr defaultRowHeight="14.4" x14ac:dyDescent="0.3"/>
  <cols>
    <col min="1" max="1" width="22" customWidth="1"/>
    <col min="2" max="4" width="12.44140625" customWidth="1"/>
    <col min="8" max="8" width="10.5546875" customWidth="1"/>
    <col min="9" max="9" width="11.44140625" customWidth="1"/>
    <col min="11" max="11" width="14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K1" s="3" t="s">
        <v>286</v>
      </c>
    </row>
    <row r="2" spans="1:11" x14ac:dyDescent="0.3">
      <c r="A2" t="s">
        <v>4</v>
      </c>
      <c r="B2" s="1">
        <v>0.33900000000000002</v>
      </c>
      <c r="C2" s="1">
        <v>0.37</v>
      </c>
      <c r="D2">
        <v>173.5</v>
      </c>
      <c r="F2" s="3" t="s">
        <v>283</v>
      </c>
      <c r="G2" s="3"/>
      <c r="H2" s="2">
        <f>AVERAGE(D2:D280)</f>
        <v>152.29964157706081</v>
      </c>
      <c r="I2" s="2">
        <f>_xlfn.STDEV.S(D2:D300)/SQRT(COUNT(D2:D300))</f>
        <v>2.3504992180154964</v>
      </c>
      <c r="K2">
        <f>D2*10^6*$H$9/$H$7</f>
        <v>39.866727941176471</v>
      </c>
    </row>
    <row r="3" spans="1:11" x14ac:dyDescent="0.3">
      <c r="A3" t="s">
        <v>5</v>
      </c>
      <c r="B3" s="1">
        <v>0.33</v>
      </c>
      <c r="C3" s="1">
        <v>0.37</v>
      </c>
      <c r="D3">
        <v>173.5</v>
      </c>
      <c r="F3" s="3" t="s">
        <v>284</v>
      </c>
      <c r="H3" s="1">
        <f>AVERAGE(C2:C300)</f>
        <v>0.34383512544802819</v>
      </c>
      <c r="I3" s="4">
        <f>_xlfn.STDEV.S(C2:C301)/SQRT(COUNT(C2:C301))</f>
        <v>1.2795911637945203E-3</v>
      </c>
      <c r="K3">
        <f t="shared" ref="K3:K66" si="0">D3*10^6*$H$9/$H$7</f>
        <v>39.866727941176471</v>
      </c>
    </row>
    <row r="4" spans="1:11" x14ac:dyDescent="0.3">
      <c r="A4" t="s">
        <v>6</v>
      </c>
      <c r="B4" s="1">
        <v>0.41499999999999998</v>
      </c>
      <c r="C4" s="1">
        <v>0.33</v>
      </c>
      <c r="D4">
        <v>166</v>
      </c>
      <c r="F4" s="3" t="s">
        <v>285</v>
      </c>
      <c r="H4" s="1">
        <f>AVERAGE(B3:B301)</f>
        <v>0.3636079136690647</v>
      </c>
      <c r="I4" s="4">
        <f>_xlfn.STDEV.S(B2:B302)/SQRT(COUNT(B2:B302))</f>
        <v>2.6937292978209196E-3</v>
      </c>
      <c r="K4">
        <f t="shared" si="0"/>
        <v>38.143382352941174</v>
      </c>
    </row>
    <row r="5" spans="1:11" x14ac:dyDescent="0.3">
      <c r="A5" t="s">
        <v>7</v>
      </c>
      <c r="B5" s="1">
        <v>0.308</v>
      </c>
      <c r="C5" s="1">
        <v>0.36</v>
      </c>
      <c r="D5">
        <v>182.2</v>
      </c>
      <c r="K5">
        <f t="shared" si="0"/>
        <v>41.865808823529413</v>
      </c>
    </row>
    <row r="6" spans="1:11" x14ac:dyDescent="0.3">
      <c r="A6" t="s">
        <v>8</v>
      </c>
      <c r="B6" s="1">
        <v>0.30199999999999999</v>
      </c>
      <c r="C6" s="1">
        <v>0.36</v>
      </c>
      <c r="D6">
        <v>182.2</v>
      </c>
      <c r="F6" s="3" t="s">
        <v>287</v>
      </c>
      <c r="H6">
        <v>652.79999999999995</v>
      </c>
      <c r="I6" t="s">
        <v>288</v>
      </c>
      <c r="K6">
        <f t="shared" si="0"/>
        <v>41.865808823529413</v>
      </c>
    </row>
    <row r="7" spans="1:11" x14ac:dyDescent="0.3">
      <c r="A7" t="s">
        <v>9</v>
      </c>
      <c r="B7" s="1">
        <v>0.379</v>
      </c>
      <c r="C7" s="1">
        <v>0.33</v>
      </c>
      <c r="D7">
        <v>130.9</v>
      </c>
      <c r="H7">
        <f>H6*10^6</f>
        <v>652800000</v>
      </c>
      <c r="I7" t="s">
        <v>291</v>
      </c>
      <c r="K7">
        <f t="shared" si="0"/>
        <v>30.078125</v>
      </c>
    </row>
    <row r="8" spans="1:11" x14ac:dyDescent="0.3">
      <c r="A8" t="s">
        <v>10</v>
      </c>
      <c r="B8" s="1">
        <v>0.38100000000000001</v>
      </c>
      <c r="C8" s="1">
        <v>0.34</v>
      </c>
      <c r="D8">
        <v>130.9</v>
      </c>
      <c r="K8">
        <f t="shared" si="0"/>
        <v>30.078125</v>
      </c>
    </row>
    <row r="9" spans="1:11" x14ac:dyDescent="0.3">
      <c r="A9" t="s">
        <v>11</v>
      </c>
      <c r="B9" s="1">
        <v>0.41899999999999998</v>
      </c>
      <c r="C9" s="1">
        <v>0.35</v>
      </c>
      <c r="D9">
        <v>142.19999999999999</v>
      </c>
      <c r="F9" s="3" t="s">
        <v>290</v>
      </c>
      <c r="H9">
        <v>150</v>
      </c>
      <c r="I9" t="s">
        <v>289</v>
      </c>
      <c r="K9">
        <f t="shared" si="0"/>
        <v>32.674632352941174</v>
      </c>
    </row>
    <row r="10" spans="1:11" x14ac:dyDescent="0.3">
      <c r="A10" t="s">
        <v>12</v>
      </c>
      <c r="B10" s="1">
        <v>0.41799999999999998</v>
      </c>
      <c r="C10" s="1">
        <v>0.35</v>
      </c>
      <c r="D10">
        <v>142.19999999999999</v>
      </c>
      <c r="K10">
        <f t="shared" si="0"/>
        <v>32.674632352941174</v>
      </c>
    </row>
    <row r="11" spans="1:11" x14ac:dyDescent="0.3">
      <c r="A11" t="s">
        <v>13</v>
      </c>
      <c r="B11" s="1">
        <v>0.317</v>
      </c>
      <c r="C11" s="1">
        <v>0.38</v>
      </c>
      <c r="D11">
        <v>100.1</v>
      </c>
      <c r="F11" s="3" t="s">
        <v>293</v>
      </c>
      <c r="H11" s="2">
        <f>AVERAGE(K2:K280)</f>
        <v>34.99532205355262</v>
      </c>
      <c r="I11" t="s">
        <v>292</v>
      </c>
      <c r="K11">
        <f t="shared" si="0"/>
        <v>23.000919117647058</v>
      </c>
    </row>
    <row r="12" spans="1:11" x14ac:dyDescent="0.3">
      <c r="A12" t="s">
        <v>14</v>
      </c>
      <c r="B12" s="1">
        <v>0.32200000000000001</v>
      </c>
      <c r="C12" s="1">
        <v>0.39</v>
      </c>
      <c r="D12">
        <v>100.1</v>
      </c>
      <c r="F12" s="3" t="s">
        <v>294</v>
      </c>
      <c r="H12">
        <f>MIN(K2:K280)</f>
        <v>17.991727941176471</v>
      </c>
      <c r="I12" t="s">
        <v>292</v>
      </c>
      <c r="K12">
        <f t="shared" si="0"/>
        <v>23.000919117647058</v>
      </c>
    </row>
    <row r="13" spans="1:11" x14ac:dyDescent="0.3">
      <c r="A13" t="s">
        <v>15</v>
      </c>
      <c r="B13" s="1">
        <v>0.378</v>
      </c>
      <c r="C13" s="1">
        <v>0.35</v>
      </c>
      <c r="D13">
        <v>142</v>
      </c>
      <c r="F13" s="3" t="s">
        <v>295</v>
      </c>
      <c r="H13">
        <f>MAX(K2:K280)</f>
        <v>60.9375</v>
      </c>
      <c r="I13" t="s">
        <v>292</v>
      </c>
      <c r="K13">
        <f t="shared" si="0"/>
        <v>32.628676470588232</v>
      </c>
    </row>
    <row r="14" spans="1:11" x14ac:dyDescent="0.3">
      <c r="A14" t="s">
        <v>16</v>
      </c>
      <c r="B14" s="1">
        <v>0.38</v>
      </c>
      <c r="C14" s="1">
        <v>0.35</v>
      </c>
      <c r="D14">
        <v>142</v>
      </c>
      <c r="K14">
        <f t="shared" si="0"/>
        <v>32.628676470588232</v>
      </c>
    </row>
    <row r="15" spans="1:11" x14ac:dyDescent="0.3">
      <c r="A15" t="s">
        <v>17</v>
      </c>
      <c r="B15" s="1">
        <v>0.41899999999999998</v>
      </c>
      <c r="C15" s="1">
        <v>0.37</v>
      </c>
      <c r="D15">
        <v>182.7</v>
      </c>
      <c r="K15">
        <f t="shared" si="0"/>
        <v>41.980698529411768</v>
      </c>
    </row>
    <row r="16" spans="1:11" x14ac:dyDescent="0.3">
      <c r="A16" t="s">
        <v>18</v>
      </c>
      <c r="B16" s="1">
        <v>0.41799999999999998</v>
      </c>
      <c r="C16" s="1">
        <v>0.37</v>
      </c>
      <c r="D16">
        <v>182.7</v>
      </c>
      <c r="K16">
        <f t="shared" si="0"/>
        <v>41.980698529411768</v>
      </c>
    </row>
    <row r="17" spans="1:11" x14ac:dyDescent="0.3">
      <c r="A17" t="s">
        <v>19</v>
      </c>
      <c r="B17" s="1">
        <v>0.40100000000000002</v>
      </c>
      <c r="C17" s="1">
        <v>0.33</v>
      </c>
      <c r="D17">
        <v>190.8</v>
      </c>
      <c r="K17">
        <f t="shared" si="0"/>
        <v>43.841911764705884</v>
      </c>
    </row>
    <row r="18" spans="1:11" x14ac:dyDescent="0.3">
      <c r="A18" t="s">
        <v>20</v>
      </c>
      <c r="B18" s="1">
        <v>0.40100000000000002</v>
      </c>
      <c r="C18" s="1">
        <v>0.33</v>
      </c>
      <c r="D18">
        <v>190.8</v>
      </c>
      <c r="K18">
        <f t="shared" si="0"/>
        <v>43.841911764705884</v>
      </c>
    </row>
    <row r="19" spans="1:11" x14ac:dyDescent="0.3">
      <c r="A19" t="s">
        <v>21</v>
      </c>
      <c r="B19" s="1">
        <v>0.42599999999999999</v>
      </c>
      <c r="C19" s="1">
        <v>0.33</v>
      </c>
      <c r="D19">
        <v>138.30000000000001</v>
      </c>
      <c r="K19">
        <f t="shared" si="0"/>
        <v>31.778492647058822</v>
      </c>
    </row>
    <row r="20" spans="1:11" x14ac:dyDescent="0.3">
      <c r="A20" t="s">
        <v>22</v>
      </c>
      <c r="B20" s="1">
        <v>0.42799999999999999</v>
      </c>
      <c r="C20" s="1">
        <v>0.32</v>
      </c>
      <c r="D20">
        <v>138.30000000000001</v>
      </c>
      <c r="K20">
        <f t="shared" si="0"/>
        <v>31.778492647058822</v>
      </c>
    </row>
    <row r="21" spans="1:11" x14ac:dyDescent="0.3">
      <c r="A21" t="s">
        <v>23</v>
      </c>
      <c r="B21" s="1">
        <v>0.435</v>
      </c>
      <c r="C21" s="1">
        <v>0.37</v>
      </c>
      <c r="D21">
        <v>148.6</v>
      </c>
      <c r="K21">
        <f t="shared" si="0"/>
        <v>34.145220588235297</v>
      </c>
    </row>
    <row r="22" spans="1:11" x14ac:dyDescent="0.3">
      <c r="A22" t="s">
        <v>24</v>
      </c>
      <c r="B22" s="1">
        <v>0.433</v>
      </c>
      <c r="C22" s="1">
        <v>0.36</v>
      </c>
      <c r="D22">
        <v>148.6</v>
      </c>
      <c r="K22">
        <f t="shared" si="0"/>
        <v>34.145220588235297</v>
      </c>
    </row>
    <row r="23" spans="1:11" x14ac:dyDescent="0.3">
      <c r="A23" t="s">
        <v>25</v>
      </c>
      <c r="B23" s="1">
        <v>0.31900000000000001</v>
      </c>
      <c r="C23" s="1">
        <v>0.36</v>
      </c>
      <c r="D23">
        <v>123.5</v>
      </c>
      <c r="K23">
        <f t="shared" si="0"/>
        <v>28.377757352941178</v>
      </c>
    </row>
    <row r="24" spans="1:11" x14ac:dyDescent="0.3">
      <c r="A24" t="s">
        <v>26</v>
      </c>
      <c r="B24" s="1">
        <v>0.32300000000000001</v>
      </c>
      <c r="C24" s="1">
        <v>0.35</v>
      </c>
      <c r="D24">
        <v>123.5</v>
      </c>
      <c r="K24">
        <f t="shared" si="0"/>
        <v>28.377757352941178</v>
      </c>
    </row>
    <row r="25" spans="1:11" x14ac:dyDescent="0.3">
      <c r="A25" t="s">
        <v>27</v>
      </c>
      <c r="B25" s="1">
        <v>0.35</v>
      </c>
      <c r="C25" s="1">
        <v>0.38</v>
      </c>
      <c r="D25">
        <v>123.5</v>
      </c>
      <c r="K25">
        <f t="shared" si="0"/>
        <v>28.377757352941178</v>
      </c>
    </row>
    <row r="26" spans="1:11" x14ac:dyDescent="0.3">
      <c r="A26" t="s">
        <v>28</v>
      </c>
      <c r="B26" s="1">
        <v>0.35399999999999998</v>
      </c>
      <c r="C26" s="1">
        <v>0.37</v>
      </c>
      <c r="D26">
        <v>123.5</v>
      </c>
      <c r="K26">
        <f t="shared" si="0"/>
        <v>28.377757352941178</v>
      </c>
    </row>
    <row r="27" spans="1:11" x14ac:dyDescent="0.3">
      <c r="A27" t="s">
        <v>29</v>
      </c>
      <c r="B27" s="1">
        <v>0.28799999999999998</v>
      </c>
      <c r="C27" s="1">
        <v>0.36</v>
      </c>
      <c r="D27">
        <v>107.2</v>
      </c>
      <c r="K27">
        <f t="shared" si="0"/>
        <v>24.632352941176471</v>
      </c>
    </row>
    <row r="28" spans="1:11" x14ac:dyDescent="0.3">
      <c r="A28" t="s">
        <v>30</v>
      </c>
      <c r="B28" s="1">
        <v>0.29199999999999998</v>
      </c>
      <c r="C28" s="1">
        <v>0.36</v>
      </c>
      <c r="D28">
        <v>107.2</v>
      </c>
      <c r="K28">
        <f t="shared" si="0"/>
        <v>24.632352941176471</v>
      </c>
    </row>
    <row r="29" spans="1:11" x14ac:dyDescent="0.3">
      <c r="A29" t="s">
        <v>31</v>
      </c>
      <c r="B29" s="1">
        <v>0.38900000000000001</v>
      </c>
      <c r="C29" s="1">
        <v>0.35</v>
      </c>
      <c r="D29">
        <v>161.69999999999999</v>
      </c>
      <c r="K29">
        <f t="shared" si="0"/>
        <v>37.155330882352942</v>
      </c>
    </row>
    <row r="30" spans="1:11" x14ac:dyDescent="0.3">
      <c r="A30" t="s">
        <v>32</v>
      </c>
      <c r="B30" s="1">
        <v>0.39200000000000002</v>
      </c>
      <c r="C30" s="1">
        <v>0.35</v>
      </c>
      <c r="D30">
        <v>161.69999999999999</v>
      </c>
      <c r="K30">
        <f>D30*10^6*$H$9/$H$7</f>
        <v>37.155330882352942</v>
      </c>
    </row>
    <row r="31" spans="1:11" x14ac:dyDescent="0.3">
      <c r="A31" t="s">
        <v>33</v>
      </c>
      <c r="B31" s="1">
        <v>0.45900000000000002</v>
      </c>
      <c r="C31" s="1">
        <v>0.33</v>
      </c>
      <c r="D31">
        <v>190</v>
      </c>
      <c r="K31">
        <f t="shared" si="0"/>
        <v>43.658088235294116</v>
      </c>
    </row>
    <row r="32" spans="1:11" x14ac:dyDescent="0.3">
      <c r="A32" t="s">
        <v>34</v>
      </c>
      <c r="B32" s="1">
        <v>0.45100000000000001</v>
      </c>
      <c r="C32" s="1">
        <v>0.33</v>
      </c>
      <c r="D32">
        <v>190</v>
      </c>
      <c r="K32">
        <f t="shared" si="0"/>
        <v>43.658088235294116</v>
      </c>
    </row>
    <row r="33" spans="1:11" x14ac:dyDescent="0.3">
      <c r="A33" t="s">
        <v>35</v>
      </c>
      <c r="B33" s="1">
        <v>0.38500000000000001</v>
      </c>
      <c r="C33" s="1">
        <v>0.36</v>
      </c>
      <c r="D33">
        <v>117.6</v>
      </c>
      <c r="K33">
        <f t="shared" si="0"/>
        <v>27.022058823529413</v>
      </c>
    </row>
    <row r="34" spans="1:11" x14ac:dyDescent="0.3">
      <c r="A34" t="s">
        <v>36</v>
      </c>
      <c r="B34" s="1">
        <v>0.38</v>
      </c>
      <c r="C34" s="1">
        <v>0.36</v>
      </c>
      <c r="D34">
        <v>117.6</v>
      </c>
      <c r="K34">
        <f t="shared" si="0"/>
        <v>27.022058823529413</v>
      </c>
    </row>
    <row r="35" spans="1:11" x14ac:dyDescent="0.3">
      <c r="A35" t="s">
        <v>37</v>
      </c>
      <c r="B35" s="1">
        <v>0.373</v>
      </c>
      <c r="C35" s="1">
        <v>0.37</v>
      </c>
      <c r="D35">
        <v>155.6</v>
      </c>
      <c r="K35">
        <f t="shared" si="0"/>
        <v>35.753676470588232</v>
      </c>
    </row>
    <row r="36" spans="1:11" x14ac:dyDescent="0.3">
      <c r="A36" t="s">
        <v>38</v>
      </c>
      <c r="B36" s="1">
        <v>0.373</v>
      </c>
      <c r="C36" s="1">
        <v>0.37</v>
      </c>
      <c r="D36">
        <v>155.6</v>
      </c>
      <c r="K36">
        <f t="shared" si="0"/>
        <v>35.753676470588232</v>
      </c>
    </row>
    <row r="37" spans="1:11" x14ac:dyDescent="0.3">
      <c r="A37" t="s">
        <v>39</v>
      </c>
      <c r="B37" s="1">
        <v>0.29799999999999999</v>
      </c>
      <c r="C37" s="1">
        <v>0.36</v>
      </c>
      <c r="D37">
        <v>87.6</v>
      </c>
      <c r="K37">
        <f t="shared" si="0"/>
        <v>20.128676470588236</v>
      </c>
    </row>
    <row r="38" spans="1:11" x14ac:dyDescent="0.3">
      <c r="A38" t="s">
        <v>40</v>
      </c>
      <c r="B38" s="1">
        <v>0.29599999999999999</v>
      </c>
      <c r="C38" s="1">
        <v>0.36</v>
      </c>
      <c r="D38">
        <v>87.6</v>
      </c>
      <c r="K38">
        <f t="shared" si="0"/>
        <v>20.128676470588236</v>
      </c>
    </row>
    <row r="39" spans="1:11" x14ac:dyDescent="0.3">
      <c r="A39" t="s">
        <v>41</v>
      </c>
      <c r="B39" s="1">
        <v>0.33100000000000002</v>
      </c>
      <c r="C39" s="1">
        <v>0.36</v>
      </c>
      <c r="D39">
        <v>136.9</v>
      </c>
      <c r="K39">
        <f t="shared" si="0"/>
        <v>31.456801470588236</v>
      </c>
    </row>
    <row r="40" spans="1:11" x14ac:dyDescent="0.3">
      <c r="A40" t="s">
        <v>42</v>
      </c>
      <c r="B40" s="1">
        <v>0.33400000000000002</v>
      </c>
      <c r="C40" s="1">
        <v>0.36</v>
      </c>
      <c r="D40">
        <v>136.9</v>
      </c>
      <c r="K40">
        <f t="shared" si="0"/>
        <v>31.456801470588236</v>
      </c>
    </row>
    <row r="41" spans="1:11" x14ac:dyDescent="0.3">
      <c r="A41" t="s">
        <v>43</v>
      </c>
      <c r="B41" s="1">
        <v>0.45500000000000002</v>
      </c>
      <c r="C41" s="1">
        <v>0.35</v>
      </c>
      <c r="D41">
        <v>117</v>
      </c>
      <c r="K41">
        <f t="shared" si="0"/>
        <v>26.884191176470587</v>
      </c>
    </row>
    <row r="42" spans="1:11" x14ac:dyDescent="0.3">
      <c r="A42" t="s">
        <v>44</v>
      </c>
      <c r="B42" s="1">
        <v>0.44700000000000001</v>
      </c>
      <c r="C42" s="1">
        <v>0.36</v>
      </c>
      <c r="D42">
        <v>117</v>
      </c>
      <c r="K42">
        <f t="shared" si="0"/>
        <v>26.884191176470587</v>
      </c>
    </row>
    <row r="43" spans="1:11" x14ac:dyDescent="0.3">
      <c r="A43" t="s">
        <v>45</v>
      </c>
      <c r="B43" s="1">
        <v>0.32600000000000001</v>
      </c>
      <c r="C43" s="1">
        <v>0.36</v>
      </c>
      <c r="D43">
        <v>124.3</v>
      </c>
      <c r="K43">
        <f t="shared" si="0"/>
        <v>28.561580882352942</v>
      </c>
    </row>
    <row r="44" spans="1:11" x14ac:dyDescent="0.3">
      <c r="A44" t="s">
        <v>46</v>
      </c>
      <c r="B44" s="1">
        <v>0.32500000000000001</v>
      </c>
      <c r="C44" s="1">
        <v>0.37</v>
      </c>
      <c r="D44">
        <v>124.3</v>
      </c>
      <c r="K44">
        <f t="shared" si="0"/>
        <v>28.561580882352942</v>
      </c>
    </row>
    <row r="45" spans="1:11" x14ac:dyDescent="0.3">
      <c r="A45" t="s">
        <v>47</v>
      </c>
      <c r="B45" s="1">
        <v>0.34399999999999997</v>
      </c>
      <c r="C45" s="1">
        <v>0.36</v>
      </c>
      <c r="D45">
        <v>161.9</v>
      </c>
      <c r="K45">
        <f t="shared" si="0"/>
        <v>37.201286764705884</v>
      </c>
    </row>
    <row r="46" spans="1:11" x14ac:dyDescent="0.3">
      <c r="A46" t="s">
        <v>48</v>
      </c>
      <c r="B46" s="1">
        <v>0.34799999999999998</v>
      </c>
      <c r="C46" s="1">
        <v>0.35</v>
      </c>
      <c r="D46">
        <v>161.9</v>
      </c>
      <c r="K46">
        <f t="shared" si="0"/>
        <v>37.201286764705884</v>
      </c>
    </row>
    <row r="47" spans="1:11" x14ac:dyDescent="0.3">
      <c r="A47" t="s">
        <v>49</v>
      </c>
      <c r="B47" s="1">
        <v>0.44800000000000001</v>
      </c>
      <c r="C47" s="1">
        <v>0.36</v>
      </c>
      <c r="D47">
        <v>145.1</v>
      </c>
      <c r="K47">
        <f t="shared" si="0"/>
        <v>33.340992647058826</v>
      </c>
    </row>
    <row r="48" spans="1:11" x14ac:dyDescent="0.3">
      <c r="A48" t="s">
        <v>50</v>
      </c>
      <c r="B48" s="1">
        <v>0.44400000000000001</v>
      </c>
      <c r="C48" s="1">
        <v>0.36</v>
      </c>
      <c r="D48">
        <v>145.1</v>
      </c>
      <c r="K48">
        <f t="shared" si="0"/>
        <v>33.340992647058826</v>
      </c>
    </row>
    <row r="49" spans="1:11" x14ac:dyDescent="0.3">
      <c r="A49" t="s">
        <v>51</v>
      </c>
      <c r="B49" s="1">
        <v>0.372</v>
      </c>
      <c r="C49" s="1">
        <v>0.36</v>
      </c>
      <c r="D49">
        <v>179.9</v>
      </c>
      <c r="K49">
        <f t="shared" si="0"/>
        <v>41.337316176470587</v>
      </c>
    </row>
    <row r="50" spans="1:11" x14ac:dyDescent="0.3">
      <c r="A50" t="s">
        <v>52</v>
      </c>
      <c r="B50" s="1">
        <v>0.37</v>
      </c>
      <c r="C50" s="1">
        <v>0.35</v>
      </c>
      <c r="D50">
        <v>179.9</v>
      </c>
      <c r="K50">
        <f>D50*10^6*$H$9/$H$7</f>
        <v>41.337316176470587</v>
      </c>
    </row>
    <row r="51" spans="1:11" x14ac:dyDescent="0.3">
      <c r="A51" t="s">
        <v>53</v>
      </c>
      <c r="B51" s="1">
        <v>0.38800000000000001</v>
      </c>
      <c r="C51" s="1">
        <v>0.35</v>
      </c>
      <c r="D51">
        <v>191.3</v>
      </c>
      <c r="K51">
        <f t="shared" si="0"/>
        <v>43.956801470588232</v>
      </c>
    </row>
    <row r="52" spans="1:11" x14ac:dyDescent="0.3">
      <c r="A52" t="s">
        <v>54</v>
      </c>
      <c r="B52" s="1">
        <v>0.39</v>
      </c>
      <c r="C52" s="1">
        <v>0.35</v>
      </c>
      <c r="D52">
        <v>191.3</v>
      </c>
      <c r="K52">
        <f t="shared" si="0"/>
        <v>43.956801470588232</v>
      </c>
    </row>
    <row r="53" spans="1:11" x14ac:dyDescent="0.3">
      <c r="A53" t="s">
        <v>55</v>
      </c>
      <c r="B53" s="1">
        <v>0.41499999999999998</v>
      </c>
      <c r="C53" s="1">
        <v>0.34</v>
      </c>
      <c r="D53">
        <v>147.9</v>
      </c>
      <c r="K53">
        <f t="shared" si="0"/>
        <v>33.984375</v>
      </c>
    </row>
    <row r="54" spans="1:11" x14ac:dyDescent="0.3">
      <c r="A54" t="s">
        <v>56</v>
      </c>
      <c r="B54" s="1">
        <v>0.41399999999999998</v>
      </c>
      <c r="C54" s="1">
        <v>0.34</v>
      </c>
      <c r="D54">
        <v>147.9</v>
      </c>
      <c r="K54">
        <f t="shared" si="0"/>
        <v>33.984375</v>
      </c>
    </row>
    <row r="55" spans="1:11" x14ac:dyDescent="0.3">
      <c r="A55" t="s">
        <v>57</v>
      </c>
      <c r="B55" s="1">
        <v>0.33600000000000002</v>
      </c>
      <c r="C55" s="1">
        <v>0.36</v>
      </c>
      <c r="D55">
        <v>189.9</v>
      </c>
      <c r="K55">
        <f t="shared" si="0"/>
        <v>43.635110294117645</v>
      </c>
    </row>
    <row r="56" spans="1:11" x14ac:dyDescent="0.3">
      <c r="A56" t="s">
        <v>58</v>
      </c>
      <c r="B56" s="1">
        <v>0.33</v>
      </c>
      <c r="C56" s="1">
        <v>0.36</v>
      </c>
      <c r="D56">
        <v>189.9</v>
      </c>
      <c r="K56">
        <f t="shared" si="0"/>
        <v>43.635110294117645</v>
      </c>
    </row>
    <row r="57" spans="1:11" x14ac:dyDescent="0.3">
      <c r="A57" t="s">
        <v>59</v>
      </c>
      <c r="B57" s="1">
        <v>0.36599999999999999</v>
      </c>
      <c r="C57" s="1">
        <v>0.34</v>
      </c>
      <c r="D57">
        <v>160.6</v>
      </c>
      <c r="K57">
        <f t="shared" si="0"/>
        <v>36.902573529411768</v>
      </c>
    </row>
    <row r="58" spans="1:11" x14ac:dyDescent="0.3">
      <c r="A58" t="s">
        <v>60</v>
      </c>
      <c r="B58" s="1">
        <v>0.36799999999999999</v>
      </c>
      <c r="C58" s="1">
        <v>0.34</v>
      </c>
      <c r="D58">
        <v>160.6</v>
      </c>
      <c r="K58">
        <f t="shared" si="0"/>
        <v>36.902573529411768</v>
      </c>
    </row>
    <row r="59" spans="1:11" x14ac:dyDescent="0.3">
      <c r="A59" t="s">
        <v>61</v>
      </c>
      <c r="B59" s="1">
        <v>0.317</v>
      </c>
      <c r="C59" s="1">
        <v>0.35</v>
      </c>
      <c r="D59">
        <v>131.1</v>
      </c>
      <c r="K59">
        <f t="shared" si="0"/>
        <v>30.124080882352942</v>
      </c>
    </row>
    <row r="60" spans="1:11" x14ac:dyDescent="0.3">
      <c r="A60" t="s">
        <v>62</v>
      </c>
      <c r="B60" s="1">
        <v>0.32200000000000001</v>
      </c>
      <c r="C60" s="1">
        <v>0.35</v>
      </c>
      <c r="D60">
        <v>131.1</v>
      </c>
      <c r="K60">
        <f t="shared" si="0"/>
        <v>30.124080882352942</v>
      </c>
    </row>
    <row r="61" spans="1:11" x14ac:dyDescent="0.3">
      <c r="A61" t="s">
        <v>63</v>
      </c>
      <c r="B61" s="1">
        <v>0.39300000000000002</v>
      </c>
      <c r="C61" s="1">
        <v>0.34</v>
      </c>
      <c r="D61">
        <v>99.8</v>
      </c>
      <c r="K61">
        <f t="shared" si="0"/>
        <v>22.931985294117649</v>
      </c>
    </row>
    <row r="62" spans="1:11" x14ac:dyDescent="0.3">
      <c r="A62" t="s">
        <v>64</v>
      </c>
      <c r="B62" s="1">
        <v>0.39100000000000001</v>
      </c>
      <c r="C62" s="1">
        <v>0.34</v>
      </c>
      <c r="D62">
        <v>99.8</v>
      </c>
      <c r="K62">
        <f t="shared" si="0"/>
        <v>22.931985294117649</v>
      </c>
    </row>
    <row r="63" spans="1:11" x14ac:dyDescent="0.3">
      <c r="A63" t="s">
        <v>65</v>
      </c>
      <c r="B63" s="1">
        <v>0.39100000000000001</v>
      </c>
      <c r="C63" s="1">
        <v>0.35</v>
      </c>
      <c r="D63">
        <v>142.30000000000001</v>
      </c>
      <c r="K63">
        <f t="shared" si="0"/>
        <v>32.697610294117645</v>
      </c>
    </row>
    <row r="64" spans="1:11" x14ac:dyDescent="0.3">
      <c r="A64" t="s">
        <v>66</v>
      </c>
      <c r="B64" s="1">
        <v>0.39100000000000001</v>
      </c>
      <c r="C64" s="1">
        <v>0.35</v>
      </c>
      <c r="D64">
        <v>142.30000000000001</v>
      </c>
      <c r="K64">
        <f t="shared" si="0"/>
        <v>32.697610294117645</v>
      </c>
    </row>
    <row r="65" spans="1:11" x14ac:dyDescent="0.3">
      <c r="A65" t="s">
        <v>67</v>
      </c>
      <c r="B65" s="1">
        <v>0.38100000000000001</v>
      </c>
      <c r="C65" s="1">
        <v>0.36</v>
      </c>
      <c r="D65">
        <v>219.2</v>
      </c>
      <c r="K65">
        <f t="shared" si="0"/>
        <v>50.367647058823529</v>
      </c>
    </row>
    <row r="66" spans="1:11" x14ac:dyDescent="0.3">
      <c r="A66" t="s">
        <v>68</v>
      </c>
      <c r="B66" s="1">
        <v>0.379</v>
      </c>
      <c r="C66" s="1">
        <v>0.36</v>
      </c>
      <c r="D66">
        <v>219.2</v>
      </c>
      <c r="K66">
        <f t="shared" si="0"/>
        <v>50.367647058823529</v>
      </c>
    </row>
    <row r="67" spans="1:11" x14ac:dyDescent="0.3">
      <c r="A67" t="s">
        <v>69</v>
      </c>
      <c r="B67" s="1">
        <v>0.47599999999999998</v>
      </c>
      <c r="C67" s="1">
        <v>0.31</v>
      </c>
      <c r="D67">
        <v>149.19999999999999</v>
      </c>
      <c r="K67">
        <f t="shared" ref="K67:K130" si="1">D67*10^6*$H$9/$H$7</f>
        <v>34.283088235294116</v>
      </c>
    </row>
    <row r="68" spans="1:11" x14ac:dyDescent="0.3">
      <c r="A68" t="s">
        <v>70</v>
      </c>
      <c r="B68" s="1">
        <v>0.47199999999999998</v>
      </c>
      <c r="C68" s="1">
        <v>0.31</v>
      </c>
      <c r="D68">
        <v>149.19999999999999</v>
      </c>
      <c r="K68">
        <f t="shared" si="1"/>
        <v>34.283088235294116</v>
      </c>
    </row>
    <row r="69" spans="1:11" x14ac:dyDescent="0.3">
      <c r="A69" t="s">
        <v>71</v>
      </c>
      <c r="B69" s="1">
        <v>0.32</v>
      </c>
      <c r="C69" s="1">
        <v>0.36</v>
      </c>
      <c r="D69">
        <v>173.1</v>
      </c>
      <c r="K69">
        <f t="shared" si="1"/>
        <v>39.774816176470587</v>
      </c>
    </row>
    <row r="70" spans="1:11" x14ac:dyDescent="0.3">
      <c r="A70" t="s">
        <v>72</v>
      </c>
      <c r="B70" s="1">
        <v>0.316</v>
      </c>
      <c r="C70" s="1">
        <v>0.35</v>
      </c>
      <c r="D70">
        <v>173.1</v>
      </c>
      <c r="K70">
        <f t="shared" si="1"/>
        <v>39.774816176470587</v>
      </c>
    </row>
    <row r="71" spans="1:11" x14ac:dyDescent="0.3">
      <c r="A71" t="s">
        <v>73</v>
      </c>
      <c r="B71" s="1">
        <v>0.33500000000000002</v>
      </c>
      <c r="C71" s="1">
        <v>0.35</v>
      </c>
      <c r="D71">
        <v>111.9</v>
      </c>
      <c r="K71">
        <f t="shared" si="1"/>
        <v>25.712316176470587</v>
      </c>
    </row>
    <row r="72" spans="1:11" x14ac:dyDescent="0.3">
      <c r="A72" t="s">
        <v>74</v>
      </c>
      <c r="B72" s="1">
        <v>0.33900000000000002</v>
      </c>
      <c r="C72" s="1">
        <v>0.35</v>
      </c>
      <c r="D72">
        <v>111.9</v>
      </c>
      <c r="K72">
        <f t="shared" si="1"/>
        <v>25.712316176470587</v>
      </c>
    </row>
    <row r="73" spans="1:11" x14ac:dyDescent="0.3">
      <c r="A73" t="s">
        <v>75</v>
      </c>
      <c r="B73" s="1">
        <v>0.41</v>
      </c>
      <c r="C73" s="1">
        <v>0.33</v>
      </c>
      <c r="D73">
        <v>157.69999999999999</v>
      </c>
      <c r="K73">
        <f t="shared" si="1"/>
        <v>36.236213235294116</v>
      </c>
    </row>
    <row r="74" spans="1:11" x14ac:dyDescent="0.3">
      <c r="A74" t="s">
        <v>76</v>
      </c>
      <c r="B74" s="1">
        <v>0.41199999999999998</v>
      </c>
      <c r="C74" s="1">
        <v>0.33</v>
      </c>
      <c r="D74">
        <v>157.69999999999999</v>
      </c>
      <c r="K74">
        <f t="shared" si="1"/>
        <v>36.236213235294116</v>
      </c>
    </row>
    <row r="75" spans="1:11" x14ac:dyDescent="0.3">
      <c r="A75" t="s">
        <v>77</v>
      </c>
      <c r="B75" s="1">
        <v>0.375</v>
      </c>
      <c r="C75" s="1">
        <v>0.35</v>
      </c>
      <c r="D75">
        <v>188.8</v>
      </c>
      <c r="K75">
        <f t="shared" si="1"/>
        <v>43.382352941176471</v>
      </c>
    </row>
    <row r="76" spans="1:11" x14ac:dyDescent="0.3">
      <c r="A76" t="s">
        <v>78</v>
      </c>
      <c r="B76" s="1">
        <v>0.36899999999999999</v>
      </c>
      <c r="C76" s="1">
        <v>0.35</v>
      </c>
      <c r="D76">
        <v>188.8</v>
      </c>
      <c r="K76">
        <f t="shared" si="1"/>
        <v>43.382352941176471</v>
      </c>
    </row>
    <row r="77" spans="1:11" x14ac:dyDescent="0.3">
      <c r="A77" t="s">
        <v>79</v>
      </c>
      <c r="B77" s="1">
        <v>0.40799999999999997</v>
      </c>
      <c r="C77" s="1">
        <v>0.32</v>
      </c>
      <c r="D77">
        <v>187.8</v>
      </c>
      <c r="K77">
        <f t="shared" si="1"/>
        <v>43.152573529411768</v>
      </c>
    </row>
    <row r="78" spans="1:11" x14ac:dyDescent="0.3">
      <c r="A78" t="s">
        <v>80</v>
      </c>
      <c r="B78" s="1">
        <v>0.40600000000000003</v>
      </c>
      <c r="C78" s="1">
        <v>0.32</v>
      </c>
      <c r="D78">
        <v>187.8</v>
      </c>
      <c r="K78">
        <f t="shared" si="1"/>
        <v>43.152573529411768</v>
      </c>
    </row>
    <row r="79" spans="1:11" x14ac:dyDescent="0.3">
      <c r="A79" t="s">
        <v>81</v>
      </c>
      <c r="B79" s="1">
        <v>0.42899999999999999</v>
      </c>
      <c r="C79" s="1">
        <v>0.34</v>
      </c>
      <c r="D79">
        <v>230.9</v>
      </c>
      <c r="K79">
        <f t="shared" si="1"/>
        <v>53.056066176470587</v>
      </c>
    </row>
    <row r="80" spans="1:11" x14ac:dyDescent="0.3">
      <c r="A80" t="s">
        <v>82</v>
      </c>
      <c r="B80" s="1">
        <v>0.42499999999999999</v>
      </c>
      <c r="C80" s="1">
        <v>0.34</v>
      </c>
      <c r="D80">
        <v>230.9</v>
      </c>
      <c r="K80">
        <f t="shared" si="1"/>
        <v>53.056066176470587</v>
      </c>
    </row>
    <row r="81" spans="1:11" x14ac:dyDescent="0.3">
      <c r="A81" t="s">
        <v>83</v>
      </c>
      <c r="B81" s="1">
        <v>0.32900000000000001</v>
      </c>
      <c r="C81" s="1">
        <v>0.36</v>
      </c>
      <c r="D81">
        <v>222.4</v>
      </c>
      <c r="K81">
        <f t="shared" si="1"/>
        <v>51.102941176470587</v>
      </c>
    </row>
    <row r="82" spans="1:11" x14ac:dyDescent="0.3">
      <c r="A82" t="s">
        <v>84</v>
      </c>
      <c r="B82" s="1">
        <v>0.33</v>
      </c>
      <c r="C82" s="1">
        <v>0.36</v>
      </c>
      <c r="D82">
        <v>222.4</v>
      </c>
      <c r="K82">
        <f t="shared" si="1"/>
        <v>51.102941176470587</v>
      </c>
    </row>
    <row r="83" spans="1:11" x14ac:dyDescent="0.3">
      <c r="A83" t="s">
        <v>85</v>
      </c>
      <c r="B83" s="1">
        <v>0.38600000000000001</v>
      </c>
      <c r="C83" s="1">
        <v>0.36</v>
      </c>
      <c r="D83">
        <v>217.2</v>
      </c>
      <c r="K83">
        <f t="shared" si="1"/>
        <v>49.908088235294116</v>
      </c>
    </row>
    <row r="84" spans="1:11" x14ac:dyDescent="0.3">
      <c r="A84" t="s">
        <v>86</v>
      </c>
      <c r="B84" s="1">
        <v>0.38400000000000001</v>
      </c>
      <c r="C84" s="1">
        <v>0.37</v>
      </c>
      <c r="D84">
        <v>217.2</v>
      </c>
      <c r="K84">
        <f t="shared" si="1"/>
        <v>49.908088235294116</v>
      </c>
    </row>
    <row r="85" spans="1:11" x14ac:dyDescent="0.3">
      <c r="A85" t="s">
        <v>87</v>
      </c>
      <c r="B85" s="1">
        <v>0.40100000000000002</v>
      </c>
      <c r="C85" s="1">
        <v>0.35</v>
      </c>
      <c r="D85">
        <v>163.30000000000001</v>
      </c>
      <c r="K85">
        <f t="shared" si="1"/>
        <v>37.522977941176471</v>
      </c>
    </row>
    <row r="86" spans="1:11" x14ac:dyDescent="0.3">
      <c r="A86" t="s">
        <v>88</v>
      </c>
      <c r="B86" s="1">
        <v>0.39700000000000002</v>
      </c>
      <c r="C86" s="1">
        <v>0.35</v>
      </c>
      <c r="D86">
        <v>163.30000000000001</v>
      </c>
      <c r="K86">
        <f t="shared" si="1"/>
        <v>37.522977941176471</v>
      </c>
    </row>
    <row r="87" spans="1:11" x14ac:dyDescent="0.3">
      <c r="A87" t="s">
        <v>89</v>
      </c>
      <c r="B87" s="1">
        <v>0.35699999999999998</v>
      </c>
      <c r="C87" s="1">
        <v>0.35</v>
      </c>
      <c r="D87">
        <v>186.8</v>
      </c>
      <c r="K87">
        <f t="shared" si="1"/>
        <v>42.922794117647058</v>
      </c>
    </row>
    <row r="88" spans="1:11" x14ac:dyDescent="0.3">
      <c r="A88" t="s">
        <v>90</v>
      </c>
      <c r="B88" s="1">
        <v>0.36</v>
      </c>
      <c r="C88" s="1">
        <v>0.35</v>
      </c>
      <c r="D88">
        <v>186.8</v>
      </c>
      <c r="K88">
        <f t="shared" si="1"/>
        <v>42.922794117647058</v>
      </c>
    </row>
    <row r="89" spans="1:11" x14ac:dyDescent="0.3">
      <c r="A89" t="s">
        <v>91</v>
      </c>
      <c r="B89" s="1">
        <v>0.43</v>
      </c>
      <c r="C89" s="1">
        <v>0.38</v>
      </c>
      <c r="D89">
        <v>167.2</v>
      </c>
      <c r="K89">
        <f t="shared" si="1"/>
        <v>38.419117647058826</v>
      </c>
    </row>
    <row r="90" spans="1:11" x14ac:dyDescent="0.3">
      <c r="A90" t="s">
        <v>92</v>
      </c>
      <c r="B90" s="1">
        <v>0.42799999999999999</v>
      </c>
      <c r="C90" s="1">
        <v>0.37</v>
      </c>
      <c r="D90">
        <v>167.2</v>
      </c>
      <c r="K90">
        <f t="shared" si="1"/>
        <v>38.419117647058826</v>
      </c>
    </row>
    <row r="91" spans="1:11" x14ac:dyDescent="0.3">
      <c r="A91" t="s">
        <v>93</v>
      </c>
      <c r="B91" s="1">
        <v>0.33500000000000002</v>
      </c>
      <c r="C91" s="1">
        <v>0.32</v>
      </c>
      <c r="D91">
        <v>138.19999999999999</v>
      </c>
      <c r="K91">
        <f t="shared" si="1"/>
        <v>31.755514705882351</v>
      </c>
    </row>
    <row r="92" spans="1:11" x14ac:dyDescent="0.3">
      <c r="A92" t="s">
        <v>94</v>
      </c>
      <c r="B92" s="1">
        <v>0.33700000000000002</v>
      </c>
      <c r="C92" s="1">
        <v>0.32</v>
      </c>
      <c r="D92">
        <v>138.19999999999999</v>
      </c>
      <c r="K92">
        <f t="shared" si="1"/>
        <v>31.755514705882351</v>
      </c>
    </row>
    <row r="93" spans="1:11" x14ac:dyDescent="0.3">
      <c r="A93" t="s">
        <v>95</v>
      </c>
      <c r="B93" s="1">
        <v>0.32500000000000001</v>
      </c>
      <c r="C93" s="1">
        <v>0.37</v>
      </c>
      <c r="D93">
        <v>130.6</v>
      </c>
      <c r="K93">
        <f t="shared" si="1"/>
        <v>30.009191176470587</v>
      </c>
    </row>
    <row r="94" spans="1:11" x14ac:dyDescent="0.3">
      <c r="A94" t="s">
        <v>96</v>
      </c>
      <c r="B94" s="1">
        <v>0.32</v>
      </c>
      <c r="C94" s="1">
        <v>0.38</v>
      </c>
      <c r="D94">
        <v>130.6</v>
      </c>
      <c r="K94">
        <f t="shared" si="1"/>
        <v>30.009191176470587</v>
      </c>
    </row>
    <row r="95" spans="1:11" x14ac:dyDescent="0.3">
      <c r="A95" t="s">
        <v>97</v>
      </c>
      <c r="B95" s="1">
        <v>0.36399999999999999</v>
      </c>
      <c r="C95" s="1">
        <v>0.33</v>
      </c>
      <c r="D95">
        <v>184.8</v>
      </c>
      <c r="K95">
        <f t="shared" si="1"/>
        <v>42.463235294117645</v>
      </c>
    </row>
    <row r="96" spans="1:11" x14ac:dyDescent="0.3">
      <c r="A96" t="s">
        <v>98</v>
      </c>
      <c r="B96" s="1">
        <v>0.36499999999999999</v>
      </c>
      <c r="C96" s="1">
        <v>0.34</v>
      </c>
      <c r="D96">
        <v>184.8</v>
      </c>
      <c r="K96">
        <f t="shared" si="1"/>
        <v>42.463235294117645</v>
      </c>
    </row>
    <row r="97" spans="1:11" x14ac:dyDescent="0.3">
      <c r="A97" t="s">
        <v>99</v>
      </c>
      <c r="B97" s="1">
        <v>0.33500000000000002</v>
      </c>
      <c r="C97" s="1">
        <v>0.37</v>
      </c>
      <c r="D97">
        <v>143.4</v>
      </c>
      <c r="K97">
        <f t="shared" si="1"/>
        <v>32.950367647058826</v>
      </c>
    </row>
    <row r="98" spans="1:11" x14ac:dyDescent="0.3">
      <c r="A98" t="s">
        <v>100</v>
      </c>
      <c r="B98" s="1">
        <v>0.33400000000000002</v>
      </c>
      <c r="C98" s="1">
        <v>0.36</v>
      </c>
      <c r="D98">
        <v>143.4</v>
      </c>
      <c r="K98">
        <f t="shared" si="1"/>
        <v>32.950367647058826</v>
      </c>
    </row>
    <row r="99" spans="1:11" x14ac:dyDescent="0.3">
      <c r="A99" t="s">
        <v>101</v>
      </c>
      <c r="B99" s="1">
        <v>0.39500000000000002</v>
      </c>
      <c r="C99" s="1">
        <v>0.33</v>
      </c>
      <c r="D99">
        <v>260</v>
      </c>
      <c r="K99">
        <f t="shared" si="1"/>
        <v>59.742647058823529</v>
      </c>
    </row>
    <row r="100" spans="1:11" x14ac:dyDescent="0.3">
      <c r="A100" t="s">
        <v>102</v>
      </c>
      <c r="B100" s="1">
        <v>0.39600000000000002</v>
      </c>
      <c r="C100" s="1">
        <v>0.33</v>
      </c>
      <c r="D100">
        <v>260</v>
      </c>
      <c r="K100">
        <f t="shared" si="1"/>
        <v>59.742647058823529</v>
      </c>
    </row>
    <row r="101" spans="1:11" x14ac:dyDescent="0.3">
      <c r="A101" t="s">
        <v>103</v>
      </c>
      <c r="B101" s="1">
        <v>0.40300000000000002</v>
      </c>
      <c r="C101" s="1">
        <v>0.31</v>
      </c>
      <c r="D101">
        <v>132</v>
      </c>
      <c r="K101">
        <f t="shared" si="1"/>
        <v>30.330882352941178</v>
      </c>
    </row>
    <row r="102" spans="1:11" x14ac:dyDescent="0.3">
      <c r="A102" t="s">
        <v>104</v>
      </c>
      <c r="B102" s="1">
        <v>0.40100000000000002</v>
      </c>
      <c r="C102" s="1">
        <v>0.31</v>
      </c>
      <c r="D102">
        <v>132</v>
      </c>
      <c r="K102">
        <f t="shared" si="1"/>
        <v>30.330882352941178</v>
      </c>
    </row>
    <row r="103" spans="1:11" x14ac:dyDescent="0.3">
      <c r="A103" t="s">
        <v>105</v>
      </c>
      <c r="B103" s="1">
        <v>0.41699999999999998</v>
      </c>
      <c r="C103" s="1">
        <v>0.32</v>
      </c>
      <c r="D103">
        <v>144.4</v>
      </c>
      <c r="K103">
        <f t="shared" si="1"/>
        <v>33.180147058823529</v>
      </c>
    </row>
    <row r="104" spans="1:11" x14ac:dyDescent="0.3">
      <c r="A104" t="s">
        <v>106</v>
      </c>
      <c r="B104" s="1">
        <v>0.41699999999999998</v>
      </c>
      <c r="C104" s="1">
        <v>0.31</v>
      </c>
      <c r="D104">
        <v>144.4</v>
      </c>
      <c r="K104">
        <f t="shared" si="1"/>
        <v>33.180147058823529</v>
      </c>
    </row>
    <row r="105" spans="1:11" x14ac:dyDescent="0.3">
      <c r="A105" t="s">
        <v>107</v>
      </c>
      <c r="B105" s="1">
        <v>0.42399999999999999</v>
      </c>
      <c r="C105" s="1">
        <v>0.32</v>
      </c>
      <c r="D105">
        <v>130.9</v>
      </c>
      <c r="K105">
        <f t="shared" si="1"/>
        <v>30.078125</v>
      </c>
    </row>
    <row r="106" spans="1:11" x14ac:dyDescent="0.3">
      <c r="A106" t="s">
        <v>108</v>
      </c>
      <c r="B106" s="1">
        <v>0.42299999999999999</v>
      </c>
      <c r="C106" s="1">
        <v>0.32</v>
      </c>
      <c r="D106">
        <v>130.9</v>
      </c>
      <c r="K106">
        <f t="shared" si="1"/>
        <v>30.078125</v>
      </c>
    </row>
    <row r="107" spans="1:11" x14ac:dyDescent="0.3">
      <c r="A107" t="s">
        <v>109</v>
      </c>
      <c r="B107" s="1">
        <v>0.33500000000000002</v>
      </c>
      <c r="C107" s="1">
        <v>0.36</v>
      </c>
      <c r="D107">
        <v>134.5</v>
      </c>
      <c r="K107">
        <f t="shared" si="1"/>
        <v>30.905330882352942</v>
      </c>
    </row>
    <row r="108" spans="1:11" x14ac:dyDescent="0.3">
      <c r="A108" t="s">
        <v>110</v>
      </c>
      <c r="B108" s="1">
        <v>0.33600000000000002</v>
      </c>
      <c r="C108" s="1">
        <v>0.37</v>
      </c>
      <c r="D108">
        <v>134.5</v>
      </c>
      <c r="K108">
        <f t="shared" si="1"/>
        <v>30.905330882352942</v>
      </c>
    </row>
    <row r="109" spans="1:11" x14ac:dyDescent="0.3">
      <c r="A109" t="s">
        <v>111</v>
      </c>
      <c r="B109" s="1">
        <v>0.34100000000000003</v>
      </c>
      <c r="C109" s="1">
        <v>0.36</v>
      </c>
      <c r="D109">
        <v>115.5</v>
      </c>
      <c r="K109">
        <f t="shared" si="1"/>
        <v>26.539522058823529</v>
      </c>
    </row>
    <row r="110" spans="1:11" x14ac:dyDescent="0.3">
      <c r="A110" t="s">
        <v>112</v>
      </c>
      <c r="B110" s="1">
        <v>0.34</v>
      </c>
      <c r="C110" s="1">
        <v>0.35</v>
      </c>
      <c r="D110">
        <v>115.5</v>
      </c>
      <c r="K110">
        <f t="shared" si="1"/>
        <v>26.539522058823529</v>
      </c>
    </row>
    <row r="111" spans="1:11" x14ac:dyDescent="0.3">
      <c r="A111" t="s">
        <v>113</v>
      </c>
      <c r="B111" s="1">
        <v>0.39200000000000002</v>
      </c>
      <c r="C111" s="1">
        <v>0.33</v>
      </c>
      <c r="D111">
        <v>122</v>
      </c>
      <c r="K111">
        <f t="shared" si="1"/>
        <v>28.033088235294116</v>
      </c>
    </row>
    <row r="112" spans="1:11" x14ac:dyDescent="0.3">
      <c r="A112" t="s">
        <v>114</v>
      </c>
      <c r="B112" s="1">
        <v>0.39400000000000002</v>
      </c>
      <c r="C112" s="1">
        <v>0.33</v>
      </c>
      <c r="D112">
        <v>122</v>
      </c>
      <c r="K112">
        <f t="shared" si="1"/>
        <v>28.033088235294116</v>
      </c>
    </row>
    <row r="113" spans="1:11" x14ac:dyDescent="0.3">
      <c r="A113" t="s">
        <v>115</v>
      </c>
      <c r="B113" s="1">
        <v>0.33300000000000002</v>
      </c>
      <c r="C113" s="1">
        <v>0.33</v>
      </c>
      <c r="D113">
        <v>141.4</v>
      </c>
      <c r="K113">
        <f t="shared" si="1"/>
        <v>32.490808823529413</v>
      </c>
    </row>
    <row r="114" spans="1:11" x14ac:dyDescent="0.3">
      <c r="A114" t="s">
        <v>116</v>
      </c>
      <c r="B114" s="1">
        <v>0.33400000000000002</v>
      </c>
      <c r="C114" s="1">
        <v>0.33</v>
      </c>
      <c r="D114">
        <v>141.4</v>
      </c>
      <c r="K114">
        <f t="shared" si="1"/>
        <v>32.490808823529413</v>
      </c>
    </row>
    <row r="115" spans="1:11" x14ac:dyDescent="0.3">
      <c r="A115" t="s">
        <v>117</v>
      </c>
      <c r="B115" s="1">
        <v>0.377</v>
      </c>
      <c r="C115" s="1">
        <v>0.35</v>
      </c>
      <c r="D115">
        <v>103.3</v>
      </c>
      <c r="K115">
        <f t="shared" si="1"/>
        <v>23.736213235294116</v>
      </c>
    </row>
    <row r="116" spans="1:11" x14ac:dyDescent="0.3">
      <c r="A116" t="s">
        <v>118</v>
      </c>
      <c r="B116" s="1">
        <v>0.376</v>
      </c>
      <c r="C116" s="1">
        <v>0.34</v>
      </c>
      <c r="D116">
        <v>103.3</v>
      </c>
      <c r="K116">
        <f t="shared" si="1"/>
        <v>23.736213235294116</v>
      </c>
    </row>
    <row r="117" spans="1:11" x14ac:dyDescent="0.3">
      <c r="A117" t="s">
        <v>119</v>
      </c>
      <c r="B117" s="1">
        <v>0.33400000000000002</v>
      </c>
      <c r="C117" s="1">
        <v>0.34</v>
      </c>
      <c r="D117">
        <v>185.9</v>
      </c>
      <c r="K117">
        <f t="shared" si="1"/>
        <v>42.715992647058826</v>
      </c>
    </row>
    <row r="118" spans="1:11" x14ac:dyDescent="0.3">
      <c r="A118" t="s">
        <v>120</v>
      </c>
      <c r="B118" s="1">
        <v>0.33500000000000002</v>
      </c>
      <c r="C118" s="1">
        <v>0.34</v>
      </c>
      <c r="D118">
        <v>185.9</v>
      </c>
      <c r="K118">
        <f t="shared" si="1"/>
        <v>42.715992647058826</v>
      </c>
    </row>
    <row r="119" spans="1:11" x14ac:dyDescent="0.3">
      <c r="A119" t="s">
        <v>121</v>
      </c>
      <c r="B119" s="1">
        <v>0.39900000000000002</v>
      </c>
      <c r="C119" s="1">
        <v>0.33</v>
      </c>
      <c r="D119">
        <v>164.8</v>
      </c>
      <c r="K119">
        <f t="shared" si="1"/>
        <v>37.867647058823529</v>
      </c>
    </row>
    <row r="120" spans="1:11" x14ac:dyDescent="0.3">
      <c r="A120" t="s">
        <v>122</v>
      </c>
      <c r="B120" s="1">
        <v>0.4</v>
      </c>
      <c r="C120" s="1">
        <v>0.33</v>
      </c>
      <c r="D120">
        <v>164.8</v>
      </c>
      <c r="K120">
        <f t="shared" si="1"/>
        <v>37.867647058823529</v>
      </c>
    </row>
    <row r="121" spans="1:11" x14ac:dyDescent="0.3">
      <c r="A121" t="s">
        <v>123</v>
      </c>
      <c r="B121" s="1">
        <v>0.33400000000000002</v>
      </c>
      <c r="C121" s="1">
        <v>0.33</v>
      </c>
      <c r="D121">
        <v>125.1</v>
      </c>
      <c r="K121">
        <f t="shared" si="1"/>
        <v>28.745404411764707</v>
      </c>
    </row>
    <row r="122" spans="1:11" x14ac:dyDescent="0.3">
      <c r="A122" t="s">
        <v>124</v>
      </c>
      <c r="B122" s="1">
        <v>0.32900000000000001</v>
      </c>
      <c r="C122" s="1">
        <v>0.33</v>
      </c>
      <c r="D122">
        <v>125.1</v>
      </c>
      <c r="K122">
        <f t="shared" si="1"/>
        <v>28.745404411764707</v>
      </c>
    </row>
    <row r="123" spans="1:11" x14ac:dyDescent="0.3">
      <c r="A123" t="s">
        <v>125</v>
      </c>
      <c r="B123" s="1">
        <v>0.33300000000000002</v>
      </c>
      <c r="C123" s="1">
        <v>0.33</v>
      </c>
      <c r="D123">
        <v>132.4</v>
      </c>
      <c r="K123">
        <f t="shared" si="1"/>
        <v>30.422794117647058</v>
      </c>
    </row>
    <row r="124" spans="1:11" x14ac:dyDescent="0.3">
      <c r="A124" t="s">
        <v>126</v>
      </c>
      <c r="B124" s="1">
        <v>0.33500000000000002</v>
      </c>
      <c r="C124" s="1">
        <v>0.33</v>
      </c>
      <c r="D124">
        <v>132.4</v>
      </c>
      <c r="K124">
        <f t="shared" si="1"/>
        <v>30.422794117647058</v>
      </c>
    </row>
    <row r="125" spans="1:11" x14ac:dyDescent="0.3">
      <c r="A125" t="s">
        <v>127</v>
      </c>
      <c r="B125" s="1">
        <v>0.42499999999999999</v>
      </c>
      <c r="C125" s="1">
        <v>0.36</v>
      </c>
      <c r="D125">
        <v>220.8</v>
      </c>
      <c r="K125">
        <f t="shared" si="1"/>
        <v>50.735294117647058</v>
      </c>
    </row>
    <row r="126" spans="1:11" x14ac:dyDescent="0.3">
      <c r="A126" t="s">
        <v>128</v>
      </c>
      <c r="B126" s="1">
        <v>0.42299999999999999</v>
      </c>
      <c r="C126" s="1">
        <v>0.36</v>
      </c>
      <c r="D126">
        <v>220.8</v>
      </c>
      <c r="K126">
        <f t="shared" si="1"/>
        <v>50.735294117647058</v>
      </c>
    </row>
    <row r="127" spans="1:11" x14ac:dyDescent="0.3">
      <c r="A127" t="s">
        <v>129</v>
      </c>
      <c r="B127" s="1">
        <v>0.371</v>
      </c>
      <c r="C127" s="1">
        <v>0.33</v>
      </c>
      <c r="D127">
        <v>186.7</v>
      </c>
      <c r="K127">
        <f t="shared" si="1"/>
        <v>42.899816176470587</v>
      </c>
    </row>
    <row r="128" spans="1:11" x14ac:dyDescent="0.3">
      <c r="A128" t="s">
        <v>130</v>
      </c>
      <c r="B128" s="1">
        <v>0.373</v>
      </c>
      <c r="C128" s="1">
        <v>0.33</v>
      </c>
      <c r="D128">
        <v>186.7</v>
      </c>
      <c r="K128">
        <f t="shared" si="1"/>
        <v>42.899816176470587</v>
      </c>
    </row>
    <row r="129" spans="1:11" x14ac:dyDescent="0.3">
      <c r="A129" t="s">
        <v>131</v>
      </c>
      <c r="B129" s="1">
        <v>0.32100000000000001</v>
      </c>
      <c r="C129" s="1">
        <v>0.36</v>
      </c>
      <c r="D129">
        <v>113.8</v>
      </c>
      <c r="K129">
        <f t="shared" si="1"/>
        <v>26.148897058823529</v>
      </c>
    </row>
    <row r="130" spans="1:11" x14ac:dyDescent="0.3">
      <c r="A130" t="s">
        <v>132</v>
      </c>
      <c r="B130" s="1">
        <v>0.31900000000000001</v>
      </c>
      <c r="C130" s="1">
        <v>0.36</v>
      </c>
      <c r="D130">
        <v>113.8</v>
      </c>
      <c r="K130">
        <f t="shared" si="1"/>
        <v>26.148897058823529</v>
      </c>
    </row>
    <row r="131" spans="1:11" x14ac:dyDescent="0.3">
      <c r="A131" t="s">
        <v>133</v>
      </c>
      <c r="B131" s="1">
        <v>0.30599999999999999</v>
      </c>
      <c r="C131" s="1">
        <v>0.33</v>
      </c>
      <c r="D131">
        <v>105</v>
      </c>
      <c r="K131">
        <f t="shared" ref="K131:K194" si="2">D131*10^6*$H$9/$H$7</f>
        <v>24.126838235294116</v>
      </c>
    </row>
    <row r="132" spans="1:11" x14ac:dyDescent="0.3">
      <c r="A132" t="s">
        <v>134</v>
      </c>
      <c r="B132" s="1">
        <v>0.311</v>
      </c>
      <c r="C132" s="1">
        <v>0.33</v>
      </c>
      <c r="D132">
        <v>105</v>
      </c>
      <c r="K132">
        <f t="shared" si="2"/>
        <v>24.126838235294116</v>
      </c>
    </row>
    <row r="133" spans="1:11" x14ac:dyDescent="0.3">
      <c r="A133" t="s">
        <v>135</v>
      </c>
      <c r="B133" s="1">
        <v>0.3</v>
      </c>
      <c r="C133" s="1">
        <v>0.36</v>
      </c>
      <c r="D133">
        <v>128.5</v>
      </c>
      <c r="K133">
        <f t="shared" si="2"/>
        <v>29.526654411764707</v>
      </c>
    </row>
    <row r="134" spans="1:11" x14ac:dyDescent="0.3">
      <c r="A134" t="s">
        <v>136</v>
      </c>
      <c r="B134" s="1">
        <v>0.29899999999999999</v>
      </c>
      <c r="C134" s="1">
        <v>0.37</v>
      </c>
      <c r="D134">
        <v>128.5</v>
      </c>
      <c r="K134">
        <f t="shared" si="2"/>
        <v>29.526654411764707</v>
      </c>
    </row>
    <row r="135" spans="1:11" x14ac:dyDescent="0.3">
      <c r="A135" t="s">
        <v>137</v>
      </c>
      <c r="B135" s="1">
        <v>0.32900000000000001</v>
      </c>
      <c r="C135" s="1">
        <v>0.36</v>
      </c>
      <c r="D135">
        <v>118.1</v>
      </c>
      <c r="K135">
        <f t="shared" si="2"/>
        <v>27.136948529411764</v>
      </c>
    </row>
    <row r="136" spans="1:11" x14ac:dyDescent="0.3">
      <c r="A136" t="s">
        <v>138</v>
      </c>
      <c r="B136" s="1">
        <v>0.32600000000000001</v>
      </c>
      <c r="C136" s="1">
        <v>0.35</v>
      </c>
      <c r="D136">
        <v>118.1</v>
      </c>
      <c r="K136">
        <f t="shared" si="2"/>
        <v>27.136948529411764</v>
      </c>
    </row>
    <row r="137" spans="1:11" x14ac:dyDescent="0.3">
      <c r="A137" t="s">
        <v>139</v>
      </c>
      <c r="B137" s="1">
        <v>0.38400000000000001</v>
      </c>
      <c r="C137" s="1">
        <v>0.31</v>
      </c>
      <c r="D137">
        <v>169.2</v>
      </c>
      <c r="K137">
        <f t="shared" si="2"/>
        <v>38.878676470588232</v>
      </c>
    </row>
    <row r="138" spans="1:11" x14ac:dyDescent="0.3">
      <c r="A138" t="s">
        <v>140</v>
      </c>
      <c r="B138" s="1">
        <v>0.38700000000000001</v>
      </c>
      <c r="C138" s="1">
        <v>0.31</v>
      </c>
      <c r="D138">
        <v>169.2</v>
      </c>
      <c r="K138">
        <f t="shared" si="2"/>
        <v>38.878676470588232</v>
      </c>
    </row>
    <row r="139" spans="1:11" x14ac:dyDescent="0.3">
      <c r="A139" t="s">
        <v>141</v>
      </c>
      <c r="B139" s="1">
        <v>0.29499999999999998</v>
      </c>
      <c r="C139" s="1">
        <v>0.36</v>
      </c>
      <c r="D139">
        <v>93.2</v>
      </c>
      <c r="K139">
        <f t="shared" si="2"/>
        <v>21.415441176470587</v>
      </c>
    </row>
    <row r="140" spans="1:11" x14ac:dyDescent="0.3">
      <c r="A140" t="s">
        <v>142</v>
      </c>
      <c r="B140" s="1">
        <v>0.29599999999999999</v>
      </c>
      <c r="C140" s="1">
        <v>0.36</v>
      </c>
      <c r="D140">
        <v>93.2</v>
      </c>
      <c r="K140">
        <f t="shared" si="2"/>
        <v>21.415441176470587</v>
      </c>
    </row>
    <row r="141" spans="1:11" x14ac:dyDescent="0.3">
      <c r="A141" t="s">
        <v>143</v>
      </c>
      <c r="B141" s="1">
        <v>0.44700000000000001</v>
      </c>
      <c r="C141" s="1">
        <v>0.32</v>
      </c>
      <c r="D141">
        <v>226.5</v>
      </c>
      <c r="K141">
        <f t="shared" si="2"/>
        <v>52.045036764705884</v>
      </c>
    </row>
    <row r="142" spans="1:11" x14ac:dyDescent="0.3">
      <c r="A142" t="s">
        <v>144</v>
      </c>
      <c r="B142" s="1">
        <v>0.44900000000000001</v>
      </c>
      <c r="C142" s="1">
        <v>0.31</v>
      </c>
      <c r="D142">
        <v>226.5</v>
      </c>
      <c r="K142">
        <f t="shared" si="2"/>
        <v>52.045036764705884</v>
      </c>
    </row>
    <row r="143" spans="1:11" x14ac:dyDescent="0.3">
      <c r="A143" t="s">
        <v>145</v>
      </c>
      <c r="B143" s="1">
        <v>0.29099999999999998</v>
      </c>
      <c r="C143" s="1">
        <v>0.33</v>
      </c>
      <c r="D143">
        <v>102.5</v>
      </c>
      <c r="K143">
        <f t="shared" si="2"/>
        <v>23.552389705882351</v>
      </c>
    </row>
    <row r="144" spans="1:11" x14ac:dyDescent="0.3">
      <c r="A144" t="s">
        <v>146</v>
      </c>
      <c r="B144" s="1">
        <v>0.29399999999999998</v>
      </c>
      <c r="C144" s="1">
        <v>0.33</v>
      </c>
      <c r="D144">
        <v>102.5</v>
      </c>
      <c r="K144">
        <f t="shared" si="2"/>
        <v>23.552389705882351</v>
      </c>
    </row>
    <row r="145" spans="1:11" x14ac:dyDescent="0.3">
      <c r="A145" t="s">
        <v>147</v>
      </c>
      <c r="B145" s="1">
        <v>0.38</v>
      </c>
      <c r="C145" s="1">
        <v>0.35</v>
      </c>
      <c r="D145">
        <v>127.4</v>
      </c>
      <c r="K145">
        <f t="shared" si="2"/>
        <v>29.273897058823529</v>
      </c>
    </row>
    <row r="146" spans="1:11" x14ac:dyDescent="0.3">
      <c r="A146" t="s">
        <v>148</v>
      </c>
      <c r="B146" s="1">
        <v>0.376</v>
      </c>
      <c r="C146" s="1">
        <v>0.35</v>
      </c>
      <c r="D146">
        <v>127.4</v>
      </c>
      <c r="K146">
        <f t="shared" si="2"/>
        <v>29.273897058823529</v>
      </c>
    </row>
    <row r="147" spans="1:11" x14ac:dyDescent="0.3">
      <c r="A147" t="s">
        <v>149</v>
      </c>
      <c r="B147" s="1">
        <v>0.34499999999999997</v>
      </c>
      <c r="C147" s="1">
        <v>0.32</v>
      </c>
      <c r="D147">
        <v>147.80000000000001</v>
      </c>
      <c r="K147">
        <f t="shared" si="2"/>
        <v>33.961397058823529</v>
      </c>
    </row>
    <row r="148" spans="1:11" x14ac:dyDescent="0.3">
      <c r="A148" t="s">
        <v>150</v>
      </c>
      <c r="B148" s="1">
        <v>0.34100000000000003</v>
      </c>
      <c r="C148" s="1">
        <v>0.32</v>
      </c>
      <c r="D148">
        <v>147.80000000000001</v>
      </c>
      <c r="K148">
        <f t="shared" si="2"/>
        <v>33.961397058823529</v>
      </c>
    </row>
    <row r="149" spans="1:11" x14ac:dyDescent="0.3">
      <c r="A149" t="s">
        <v>151</v>
      </c>
      <c r="B149" s="1">
        <v>0.33200000000000002</v>
      </c>
      <c r="C149" s="1">
        <v>0.37</v>
      </c>
      <c r="D149">
        <v>108.5</v>
      </c>
      <c r="K149">
        <f t="shared" si="2"/>
        <v>24.931066176470587</v>
      </c>
    </row>
    <row r="150" spans="1:11" x14ac:dyDescent="0.3">
      <c r="A150" t="s">
        <v>152</v>
      </c>
      <c r="B150" s="1">
        <v>0.32600000000000001</v>
      </c>
      <c r="C150" s="1">
        <v>0.37</v>
      </c>
      <c r="D150">
        <v>108.5</v>
      </c>
      <c r="K150">
        <f t="shared" si="2"/>
        <v>24.931066176470587</v>
      </c>
    </row>
    <row r="151" spans="1:11" x14ac:dyDescent="0.3">
      <c r="A151" t="s">
        <v>153</v>
      </c>
      <c r="B151" s="1">
        <v>0.31</v>
      </c>
      <c r="C151" s="1">
        <v>0.34</v>
      </c>
      <c r="D151">
        <v>179.6</v>
      </c>
      <c r="K151">
        <f t="shared" si="2"/>
        <v>41.268382352941174</v>
      </c>
    </row>
    <row r="152" spans="1:11" x14ac:dyDescent="0.3">
      <c r="A152" t="s">
        <v>154</v>
      </c>
      <c r="B152" s="1">
        <v>0.311</v>
      </c>
      <c r="C152" s="1">
        <v>0.34</v>
      </c>
      <c r="D152">
        <v>179.6</v>
      </c>
      <c r="K152">
        <f t="shared" si="2"/>
        <v>41.268382352941174</v>
      </c>
    </row>
    <row r="153" spans="1:11" x14ac:dyDescent="0.3">
      <c r="A153" t="s">
        <v>155</v>
      </c>
      <c r="B153" s="1">
        <v>0.34100000000000003</v>
      </c>
      <c r="C153" s="1">
        <v>0.37</v>
      </c>
      <c r="D153">
        <v>129.5</v>
      </c>
      <c r="K153">
        <f t="shared" si="2"/>
        <v>29.756433823529413</v>
      </c>
    </row>
    <row r="154" spans="1:11" x14ac:dyDescent="0.3">
      <c r="A154" t="s">
        <v>156</v>
      </c>
      <c r="B154" s="1">
        <v>0.33800000000000002</v>
      </c>
      <c r="C154" s="1">
        <v>0.38</v>
      </c>
      <c r="D154">
        <v>129.5</v>
      </c>
      <c r="K154">
        <f t="shared" si="2"/>
        <v>29.756433823529413</v>
      </c>
    </row>
    <row r="155" spans="1:11" x14ac:dyDescent="0.3">
      <c r="A155" t="s">
        <v>157</v>
      </c>
      <c r="B155" s="1">
        <v>0.3</v>
      </c>
      <c r="C155" s="1">
        <v>0.37</v>
      </c>
      <c r="D155">
        <v>98.4</v>
      </c>
      <c r="K155">
        <f t="shared" si="2"/>
        <v>22.610294117647058</v>
      </c>
    </row>
    <row r="156" spans="1:11" x14ac:dyDescent="0.3">
      <c r="A156" t="s">
        <v>158</v>
      </c>
      <c r="B156" s="1">
        <v>0.29299999999999998</v>
      </c>
      <c r="C156" s="1">
        <v>0.36</v>
      </c>
      <c r="D156">
        <v>98.4</v>
      </c>
      <c r="K156">
        <f t="shared" si="2"/>
        <v>22.610294117647058</v>
      </c>
    </row>
    <row r="157" spans="1:11" x14ac:dyDescent="0.3">
      <c r="A157" t="s">
        <v>159</v>
      </c>
      <c r="B157" s="1">
        <v>0.35699999999999998</v>
      </c>
      <c r="C157" s="1">
        <v>0.32</v>
      </c>
      <c r="D157">
        <v>176.4</v>
      </c>
      <c r="K157">
        <f t="shared" si="2"/>
        <v>40.533088235294116</v>
      </c>
    </row>
    <row r="158" spans="1:11" x14ac:dyDescent="0.3">
      <c r="A158" t="s">
        <v>160</v>
      </c>
      <c r="B158" s="1">
        <v>0.35799999999999998</v>
      </c>
      <c r="C158" s="1">
        <v>0.32</v>
      </c>
      <c r="D158">
        <v>176.4</v>
      </c>
      <c r="K158">
        <f t="shared" si="2"/>
        <v>40.533088235294116</v>
      </c>
    </row>
    <row r="159" spans="1:11" x14ac:dyDescent="0.3">
      <c r="A159" t="s">
        <v>161</v>
      </c>
      <c r="B159" s="1">
        <v>0.30599999999999999</v>
      </c>
      <c r="C159" s="1">
        <v>0.38</v>
      </c>
      <c r="D159">
        <v>106.1</v>
      </c>
      <c r="K159">
        <f t="shared" si="2"/>
        <v>24.379595588235293</v>
      </c>
    </row>
    <row r="160" spans="1:11" x14ac:dyDescent="0.3">
      <c r="A160" t="s">
        <v>162</v>
      </c>
      <c r="B160" s="1">
        <v>0.30299999999999999</v>
      </c>
      <c r="C160" s="1">
        <v>0.38</v>
      </c>
      <c r="D160">
        <v>106.1</v>
      </c>
      <c r="K160">
        <f t="shared" si="2"/>
        <v>24.379595588235293</v>
      </c>
    </row>
    <row r="161" spans="1:11" x14ac:dyDescent="0.3">
      <c r="A161" t="s">
        <v>163</v>
      </c>
      <c r="B161" s="1">
        <v>0.34499999999999997</v>
      </c>
      <c r="C161" s="1">
        <v>0.32</v>
      </c>
      <c r="D161">
        <v>151.30000000000001</v>
      </c>
      <c r="K161">
        <f t="shared" si="2"/>
        <v>34.765625</v>
      </c>
    </row>
    <row r="162" spans="1:11" x14ac:dyDescent="0.3">
      <c r="A162" t="s">
        <v>164</v>
      </c>
      <c r="B162" s="1">
        <v>0.34699999999999998</v>
      </c>
      <c r="C162" s="1">
        <v>0.32</v>
      </c>
      <c r="D162">
        <v>151.30000000000001</v>
      </c>
      <c r="K162">
        <f t="shared" si="2"/>
        <v>34.765625</v>
      </c>
    </row>
    <row r="163" spans="1:11" x14ac:dyDescent="0.3">
      <c r="A163" t="s">
        <v>165</v>
      </c>
      <c r="B163" s="1">
        <v>0.36399999999999999</v>
      </c>
      <c r="C163" s="1">
        <v>0.36</v>
      </c>
      <c r="D163">
        <v>116.1</v>
      </c>
      <c r="K163">
        <f t="shared" si="2"/>
        <v>26.677389705882351</v>
      </c>
    </row>
    <row r="164" spans="1:11" x14ac:dyDescent="0.3">
      <c r="A164" t="s">
        <v>166</v>
      </c>
      <c r="B164" s="1">
        <v>0.36</v>
      </c>
      <c r="C164" s="1">
        <v>0.36</v>
      </c>
      <c r="D164">
        <v>116.1</v>
      </c>
      <c r="K164">
        <f t="shared" si="2"/>
        <v>26.677389705882351</v>
      </c>
    </row>
    <row r="165" spans="1:11" x14ac:dyDescent="0.3">
      <c r="A165" t="s">
        <v>167</v>
      </c>
      <c r="B165" s="1">
        <v>0.35299999999999998</v>
      </c>
      <c r="C165" s="1">
        <v>0.32</v>
      </c>
      <c r="D165">
        <v>140.9</v>
      </c>
      <c r="K165">
        <f t="shared" si="2"/>
        <v>32.375919117647058</v>
      </c>
    </row>
    <row r="166" spans="1:11" x14ac:dyDescent="0.3">
      <c r="A166" t="s">
        <v>168</v>
      </c>
      <c r="B166" s="1">
        <v>0.35299999999999998</v>
      </c>
      <c r="C166" s="1">
        <v>0.32</v>
      </c>
      <c r="D166">
        <v>140.9</v>
      </c>
      <c r="K166">
        <f t="shared" si="2"/>
        <v>32.375919117647058</v>
      </c>
    </row>
    <row r="167" spans="1:11" x14ac:dyDescent="0.3">
      <c r="A167" t="s">
        <v>169</v>
      </c>
      <c r="B167" s="1">
        <v>0.35499999999999998</v>
      </c>
      <c r="C167" s="1">
        <v>0.33</v>
      </c>
      <c r="D167">
        <v>149</v>
      </c>
      <c r="K167">
        <f t="shared" si="2"/>
        <v>34.237132352941174</v>
      </c>
    </row>
    <row r="168" spans="1:11" x14ac:dyDescent="0.3">
      <c r="A168" t="s">
        <v>170</v>
      </c>
      <c r="B168" s="1">
        <v>0.35799999999999998</v>
      </c>
      <c r="C168" s="1">
        <v>0.33</v>
      </c>
      <c r="D168">
        <v>149</v>
      </c>
      <c r="K168">
        <f t="shared" si="2"/>
        <v>34.237132352941174</v>
      </c>
    </row>
    <row r="169" spans="1:11" x14ac:dyDescent="0.3">
      <c r="A169" t="s">
        <v>171</v>
      </c>
      <c r="B169" s="1">
        <v>0.315</v>
      </c>
      <c r="C169" s="1">
        <v>0.36</v>
      </c>
      <c r="D169">
        <v>124.8</v>
      </c>
      <c r="K169">
        <f t="shared" si="2"/>
        <v>28.676470588235293</v>
      </c>
    </row>
    <row r="170" spans="1:11" x14ac:dyDescent="0.3">
      <c r="A170" t="s">
        <v>172</v>
      </c>
      <c r="B170" s="1">
        <v>0.311</v>
      </c>
      <c r="C170" s="1">
        <v>0.36</v>
      </c>
      <c r="D170">
        <v>124.8</v>
      </c>
      <c r="K170">
        <f t="shared" si="2"/>
        <v>28.676470588235293</v>
      </c>
    </row>
    <row r="171" spans="1:11" x14ac:dyDescent="0.3">
      <c r="A171" t="s">
        <v>173</v>
      </c>
      <c r="B171" s="1">
        <v>0.30399999999999999</v>
      </c>
      <c r="C171" s="1">
        <v>0.33</v>
      </c>
      <c r="D171">
        <v>174.6</v>
      </c>
      <c r="K171">
        <f t="shared" si="2"/>
        <v>40.119485294117645</v>
      </c>
    </row>
    <row r="172" spans="1:11" x14ac:dyDescent="0.3">
      <c r="A172" t="s">
        <v>174</v>
      </c>
      <c r="B172" s="1">
        <v>0.30499999999999999</v>
      </c>
      <c r="C172" s="1">
        <v>0.33</v>
      </c>
      <c r="D172">
        <v>174.6</v>
      </c>
      <c r="K172">
        <f t="shared" si="2"/>
        <v>40.119485294117645</v>
      </c>
    </row>
    <row r="173" spans="1:11" x14ac:dyDescent="0.3">
      <c r="A173" t="s">
        <v>175</v>
      </c>
      <c r="B173" s="1">
        <v>0.27900000000000003</v>
      </c>
      <c r="C173" s="1">
        <v>0.36</v>
      </c>
      <c r="D173">
        <v>130</v>
      </c>
      <c r="K173">
        <f t="shared" si="2"/>
        <v>29.871323529411764</v>
      </c>
    </row>
    <row r="174" spans="1:11" x14ac:dyDescent="0.3">
      <c r="A174" t="s">
        <v>176</v>
      </c>
      <c r="B174" s="1">
        <v>0.27900000000000003</v>
      </c>
      <c r="C174" s="1">
        <v>0.36</v>
      </c>
      <c r="D174">
        <v>130</v>
      </c>
      <c r="K174">
        <f t="shared" si="2"/>
        <v>29.871323529411764</v>
      </c>
    </row>
    <row r="175" spans="1:11" x14ac:dyDescent="0.3">
      <c r="A175" t="s">
        <v>177</v>
      </c>
      <c r="B175" s="1">
        <v>0.312</v>
      </c>
      <c r="C175" s="1">
        <v>0.33</v>
      </c>
      <c r="D175">
        <v>181.7</v>
      </c>
      <c r="K175">
        <f t="shared" si="2"/>
        <v>41.750919117647058</v>
      </c>
    </row>
    <row r="176" spans="1:11" x14ac:dyDescent="0.3">
      <c r="A176" t="s">
        <v>178</v>
      </c>
      <c r="B176" s="1">
        <v>0.314</v>
      </c>
      <c r="C176" s="1">
        <v>0.33</v>
      </c>
      <c r="D176">
        <v>181.7</v>
      </c>
      <c r="K176">
        <f t="shared" si="2"/>
        <v>41.750919117647058</v>
      </c>
    </row>
    <row r="177" spans="1:11" x14ac:dyDescent="0.3">
      <c r="A177" t="s">
        <v>179</v>
      </c>
      <c r="B177" s="1">
        <v>0.34100000000000003</v>
      </c>
      <c r="C177" s="1">
        <v>0.37</v>
      </c>
      <c r="D177">
        <v>117.9</v>
      </c>
      <c r="K177">
        <f t="shared" si="2"/>
        <v>27.090992647058822</v>
      </c>
    </row>
    <row r="178" spans="1:11" x14ac:dyDescent="0.3">
      <c r="A178" t="s">
        <v>180</v>
      </c>
      <c r="B178" s="1">
        <v>0.33600000000000002</v>
      </c>
      <c r="C178" s="1">
        <v>0.37</v>
      </c>
      <c r="D178">
        <v>117.9</v>
      </c>
      <c r="K178">
        <f t="shared" si="2"/>
        <v>27.090992647058822</v>
      </c>
    </row>
    <row r="179" spans="1:11" x14ac:dyDescent="0.3">
      <c r="A179" t="s">
        <v>181</v>
      </c>
      <c r="B179" s="1">
        <v>0.318</v>
      </c>
      <c r="C179" s="1">
        <v>0.37</v>
      </c>
      <c r="D179">
        <v>118.1</v>
      </c>
      <c r="K179">
        <f t="shared" si="2"/>
        <v>27.136948529411764</v>
      </c>
    </row>
    <row r="180" spans="1:11" x14ac:dyDescent="0.3">
      <c r="A180" t="s">
        <v>182</v>
      </c>
      <c r="B180" s="1">
        <v>0.317</v>
      </c>
      <c r="C180" s="1">
        <v>0.37</v>
      </c>
      <c r="D180">
        <v>118.1</v>
      </c>
      <c r="K180">
        <f t="shared" si="2"/>
        <v>27.136948529411764</v>
      </c>
    </row>
    <row r="181" spans="1:11" x14ac:dyDescent="0.3">
      <c r="A181" t="s">
        <v>183</v>
      </c>
      <c r="B181" s="1">
        <v>0.33</v>
      </c>
      <c r="C181" s="1">
        <v>0.33</v>
      </c>
      <c r="D181">
        <v>131</v>
      </c>
      <c r="K181">
        <f t="shared" si="2"/>
        <v>30.101102941176471</v>
      </c>
    </row>
    <row r="182" spans="1:11" x14ac:dyDescent="0.3">
      <c r="A182" t="s">
        <v>184</v>
      </c>
      <c r="B182" s="1">
        <v>0.32900000000000001</v>
      </c>
      <c r="C182" s="1">
        <v>0.33</v>
      </c>
      <c r="D182">
        <v>131</v>
      </c>
      <c r="K182">
        <f t="shared" si="2"/>
        <v>30.101102941176471</v>
      </c>
    </row>
    <row r="183" spans="1:11" x14ac:dyDescent="0.3">
      <c r="A183" t="s">
        <v>185</v>
      </c>
      <c r="B183" s="1">
        <v>0.40500000000000003</v>
      </c>
      <c r="C183" s="1">
        <v>0.31</v>
      </c>
      <c r="D183">
        <v>109</v>
      </c>
      <c r="K183">
        <f t="shared" si="2"/>
        <v>25.045955882352942</v>
      </c>
    </row>
    <row r="184" spans="1:11" x14ac:dyDescent="0.3">
      <c r="A184" t="s">
        <v>186</v>
      </c>
      <c r="B184" s="1">
        <v>0.40300000000000002</v>
      </c>
      <c r="C184" s="1">
        <v>0.31</v>
      </c>
      <c r="D184">
        <v>109</v>
      </c>
      <c r="K184">
        <f t="shared" si="2"/>
        <v>25.045955882352942</v>
      </c>
    </row>
    <row r="185" spans="1:11" x14ac:dyDescent="0.3">
      <c r="A185" t="s">
        <v>187</v>
      </c>
      <c r="B185" s="1">
        <v>0.33900000000000002</v>
      </c>
      <c r="C185" s="1">
        <v>0.36</v>
      </c>
      <c r="D185">
        <v>189</v>
      </c>
      <c r="K185">
        <f t="shared" si="2"/>
        <v>43.428308823529413</v>
      </c>
    </row>
    <row r="186" spans="1:11" x14ac:dyDescent="0.3">
      <c r="A186" t="s">
        <v>188</v>
      </c>
      <c r="B186" s="1">
        <v>0.32900000000000001</v>
      </c>
      <c r="C186" s="1">
        <v>0.36</v>
      </c>
      <c r="D186">
        <v>189</v>
      </c>
      <c r="K186">
        <f t="shared" si="2"/>
        <v>43.428308823529413</v>
      </c>
    </row>
    <row r="187" spans="1:11" x14ac:dyDescent="0.3">
      <c r="A187" t="s">
        <v>189</v>
      </c>
      <c r="B187" s="1">
        <v>0.38400000000000001</v>
      </c>
      <c r="C187" s="1">
        <v>0.3</v>
      </c>
      <c r="D187">
        <v>147.1</v>
      </c>
      <c r="K187">
        <f t="shared" si="2"/>
        <v>33.800551470588232</v>
      </c>
    </row>
    <row r="188" spans="1:11" x14ac:dyDescent="0.3">
      <c r="A188" t="s">
        <v>190</v>
      </c>
      <c r="B188" s="1">
        <v>0.38500000000000001</v>
      </c>
      <c r="C188" s="1">
        <v>0.3</v>
      </c>
      <c r="D188">
        <v>147.1</v>
      </c>
      <c r="K188">
        <f t="shared" si="2"/>
        <v>33.800551470588232</v>
      </c>
    </row>
    <row r="189" spans="1:11" x14ac:dyDescent="0.3">
      <c r="A189" t="s">
        <v>191</v>
      </c>
      <c r="B189" s="1">
        <v>0.379</v>
      </c>
      <c r="C189" s="1">
        <v>0.33</v>
      </c>
      <c r="D189">
        <v>162.6</v>
      </c>
      <c r="K189">
        <f t="shared" si="2"/>
        <v>37.362132352941174</v>
      </c>
    </row>
    <row r="190" spans="1:11" x14ac:dyDescent="0.3">
      <c r="A190" t="s">
        <v>192</v>
      </c>
      <c r="B190" s="1">
        <v>0.38100000000000001</v>
      </c>
      <c r="C190" s="1">
        <v>0.33</v>
      </c>
      <c r="D190">
        <v>162.6</v>
      </c>
      <c r="K190">
        <f t="shared" si="2"/>
        <v>37.362132352941174</v>
      </c>
    </row>
    <row r="191" spans="1:11" x14ac:dyDescent="0.3">
      <c r="A191" t="s">
        <v>193</v>
      </c>
      <c r="B191" s="1">
        <v>0.29399999999999998</v>
      </c>
      <c r="C191" s="1">
        <v>0.36</v>
      </c>
      <c r="D191">
        <v>91.3</v>
      </c>
      <c r="K191">
        <f t="shared" si="2"/>
        <v>20.978860294117649</v>
      </c>
    </row>
    <row r="192" spans="1:11" x14ac:dyDescent="0.3">
      <c r="A192" t="s">
        <v>194</v>
      </c>
      <c r="B192" s="1">
        <v>0.29299999999999998</v>
      </c>
      <c r="C192" s="1">
        <v>0.35</v>
      </c>
      <c r="D192">
        <v>91.3</v>
      </c>
      <c r="K192">
        <f t="shared" si="2"/>
        <v>20.978860294117649</v>
      </c>
    </row>
    <row r="193" spans="1:11" x14ac:dyDescent="0.3">
      <c r="A193" t="s">
        <v>195</v>
      </c>
      <c r="B193" s="1">
        <v>0.35399999999999998</v>
      </c>
      <c r="C193" s="1">
        <v>0.33</v>
      </c>
      <c r="D193">
        <v>90.7</v>
      </c>
      <c r="K193">
        <f t="shared" si="2"/>
        <v>20.840992647058822</v>
      </c>
    </row>
    <row r="194" spans="1:11" x14ac:dyDescent="0.3">
      <c r="A194" t="s">
        <v>196</v>
      </c>
      <c r="B194" s="1">
        <v>0.35799999999999998</v>
      </c>
      <c r="C194" s="1">
        <v>0.33</v>
      </c>
      <c r="D194">
        <v>90.7</v>
      </c>
      <c r="K194">
        <f t="shared" si="2"/>
        <v>20.840992647058822</v>
      </c>
    </row>
    <row r="195" spans="1:11" x14ac:dyDescent="0.3">
      <c r="A195" t="s">
        <v>197</v>
      </c>
      <c r="B195" s="1">
        <v>0.36899999999999999</v>
      </c>
      <c r="C195" s="1">
        <v>0.32</v>
      </c>
      <c r="D195">
        <v>114.8</v>
      </c>
      <c r="K195">
        <f t="shared" ref="K195:K258" si="3">D195*10^6*$H$9/$H$7</f>
        <v>26.378676470588236</v>
      </c>
    </row>
    <row r="196" spans="1:11" x14ac:dyDescent="0.3">
      <c r="A196" t="s">
        <v>198</v>
      </c>
      <c r="B196" s="1">
        <v>0.36899999999999999</v>
      </c>
      <c r="C196" s="1">
        <v>0.32</v>
      </c>
      <c r="D196">
        <v>114.8</v>
      </c>
      <c r="K196">
        <f t="shared" si="3"/>
        <v>26.378676470588236</v>
      </c>
    </row>
    <row r="197" spans="1:11" x14ac:dyDescent="0.3">
      <c r="A197" t="s">
        <v>199</v>
      </c>
      <c r="B197" s="1">
        <v>0.34</v>
      </c>
      <c r="C197" s="1">
        <v>0.33</v>
      </c>
      <c r="D197">
        <v>182.9</v>
      </c>
      <c r="K197">
        <f t="shared" si="3"/>
        <v>42.026654411764703</v>
      </c>
    </row>
    <row r="198" spans="1:11" x14ac:dyDescent="0.3">
      <c r="A198" t="s">
        <v>200</v>
      </c>
      <c r="B198" s="1">
        <v>0.34</v>
      </c>
      <c r="C198" s="1">
        <v>0.33</v>
      </c>
      <c r="D198">
        <v>182.9</v>
      </c>
      <c r="K198">
        <f t="shared" si="3"/>
        <v>42.026654411764703</v>
      </c>
    </row>
    <row r="199" spans="1:11" x14ac:dyDescent="0.3">
      <c r="A199" t="s">
        <v>201</v>
      </c>
      <c r="B199" s="1">
        <v>0.45300000000000001</v>
      </c>
      <c r="C199" s="1">
        <v>0.34</v>
      </c>
      <c r="D199">
        <v>100.8</v>
      </c>
      <c r="K199">
        <f t="shared" si="3"/>
        <v>23.161764705882351</v>
      </c>
    </row>
    <row r="200" spans="1:11" x14ac:dyDescent="0.3">
      <c r="A200" t="s">
        <v>202</v>
      </c>
      <c r="B200" s="1">
        <v>0.44800000000000001</v>
      </c>
      <c r="C200" s="1">
        <v>0.34</v>
      </c>
      <c r="D200">
        <v>100.8</v>
      </c>
      <c r="K200">
        <f t="shared" si="3"/>
        <v>23.161764705882351</v>
      </c>
    </row>
    <row r="201" spans="1:11" x14ac:dyDescent="0.3">
      <c r="A201" t="s">
        <v>203</v>
      </c>
      <c r="B201" s="1">
        <v>0.36899999999999999</v>
      </c>
      <c r="C201" s="1">
        <v>0.3</v>
      </c>
      <c r="D201">
        <v>119.4</v>
      </c>
      <c r="K201">
        <f t="shared" si="3"/>
        <v>27.435661764705884</v>
      </c>
    </row>
    <row r="202" spans="1:11" x14ac:dyDescent="0.3">
      <c r="A202" t="s">
        <v>204</v>
      </c>
      <c r="B202" s="1">
        <v>0.36599999999999999</v>
      </c>
      <c r="C202" s="1">
        <v>0.28999999999999998</v>
      </c>
      <c r="D202">
        <v>119.4</v>
      </c>
      <c r="K202">
        <f t="shared" si="3"/>
        <v>27.435661764705884</v>
      </c>
    </row>
    <row r="203" spans="1:11" x14ac:dyDescent="0.3">
      <c r="A203" t="s">
        <v>205</v>
      </c>
      <c r="B203" s="1">
        <v>0.38700000000000001</v>
      </c>
      <c r="C203" s="1">
        <v>0.36</v>
      </c>
      <c r="D203">
        <v>163.19999999999999</v>
      </c>
      <c r="K203">
        <f t="shared" si="3"/>
        <v>37.5</v>
      </c>
    </row>
    <row r="204" spans="1:11" x14ac:dyDescent="0.3">
      <c r="A204" t="s">
        <v>206</v>
      </c>
      <c r="B204" s="1">
        <v>0.38400000000000001</v>
      </c>
      <c r="C204" s="1">
        <v>0.36</v>
      </c>
      <c r="D204">
        <v>163.19999999999999</v>
      </c>
      <c r="K204">
        <f t="shared" si="3"/>
        <v>37.5</v>
      </c>
    </row>
    <row r="205" spans="1:11" x14ac:dyDescent="0.3">
      <c r="A205" t="s">
        <v>207</v>
      </c>
      <c r="B205" s="1">
        <v>0.39</v>
      </c>
      <c r="C205" s="1">
        <v>0.35</v>
      </c>
      <c r="D205">
        <v>116.2</v>
      </c>
      <c r="K205">
        <f t="shared" si="3"/>
        <v>26.700367647058822</v>
      </c>
    </row>
    <row r="206" spans="1:11" x14ac:dyDescent="0.3">
      <c r="A206" t="s">
        <v>208</v>
      </c>
      <c r="B206" s="1">
        <v>0.38600000000000001</v>
      </c>
      <c r="C206" s="1">
        <v>0.35</v>
      </c>
      <c r="D206">
        <v>116.2</v>
      </c>
      <c r="K206">
        <f t="shared" si="3"/>
        <v>26.700367647058822</v>
      </c>
    </row>
    <row r="207" spans="1:11" x14ac:dyDescent="0.3">
      <c r="A207" t="s">
        <v>209</v>
      </c>
      <c r="B207" s="1">
        <v>0.34699999999999998</v>
      </c>
      <c r="C207" s="1">
        <v>0.28999999999999998</v>
      </c>
      <c r="D207">
        <v>100.7</v>
      </c>
      <c r="K207">
        <f t="shared" si="3"/>
        <v>23.138786764705884</v>
      </c>
    </row>
    <row r="208" spans="1:11" x14ac:dyDescent="0.3">
      <c r="A208" t="s">
        <v>210</v>
      </c>
      <c r="B208" s="1">
        <v>0.34499999999999997</v>
      </c>
      <c r="C208" s="1">
        <v>0.3</v>
      </c>
      <c r="D208">
        <v>100.7</v>
      </c>
      <c r="K208">
        <f t="shared" si="3"/>
        <v>23.138786764705884</v>
      </c>
    </row>
    <row r="209" spans="1:11" x14ac:dyDescent="0.3">
      <c r="A209" t="s">
        <v>211</v>
      </c>
      <c r="B209" s="1">
        <v>0.28999999999999998</v>
      </c>
      <c r="C209" s="1">
        <v>0.33</v>
      </c>
      <c r="D209">
        <v>88.2</v>
      </c>
      <c r="K209">
        <f t="shared" si="3"/>
        <v>20.266544117647058</v>
      </c>
    </row>
    <row r="210" spans="1:11" x14ac:dyDescent="0.3">
      <c r="A210" t="s">
        <v>212</v>
      </c>
      <c r="B210" s="1">
        <v>0.29299999999999998</v>
      </c>
      <c r="C210" s="1">
        <v>0.32</v>
      </c>
      <c r="D210">
        <v>88.2</v>
      </c>
      <c r="K210">
        <f t="shared" si="3"/>
        <v>20.266544117647058</v>
      </c>
    </row>
    <row r="211" spans="1:11" x14ac:dyDescent="0.3">
      <c r="A211" t="s">
        <v>213</v>
      </c>
      <c r="B211" s="1">
        <v>0.35899999999999999</v>
      </c>
      <c r="C211" s="1">
        <v>0.38</v>
      </c>
      <c r="D211">
        <v>179.5</v>
      </c>
      <c r="K211">
        <f t="shared" si="3"/>
        <v>41.245404411764703</v>
      </c>
    </row>
    <row r="212" spans="1:11" x14ac:dyDescent="0.3">
      <c r="A212" t="s">
        <v>214</v>
      </c>
      <c r="B212" s="1">
        <v>0.35499999999999998</v>
      </c>
      <c r="C212" s="1">
        <v>0.37</v>
      </c>
      <c r="D212">
        <v>179.5</v>
      </c>
      <c r="K212">
        <f t="shared" si="3"/>
        <v>41.245404411764703</v>
      </c>
    </row>
    <row r="213" spans="1:11" x14ac:dyDescent="0.3">
      <c r="A213" t="s">
        <v>215</v>
      </c>
      <c r="B213" s="1">
        <v>0.32600000000000001</v>
      </c>
      <c r="C213" s="1">
        <v>0.35</v>
      </c>
      <c r="D213">
        <v>131</v>
      </c>
      <c r="K213">
        <f t="shared" si="3"/>
        <v>30.101102941176471</v>
      </c>
    </row>
    <row r="214" spans="1:11" x14ac:dyDescent="0.3">
      <c r="A214" t="s">
        <v>216</v>
      </c>
      <c r="B214" s="1">
        <v>0.32400000000000001</v>
      </c>
      <c r="C214" s="1">
        <v>0.36</v>
      </c>
      <c r="D214">
        <v>131</v>
      </c>
      <c r="K214">
        <f t="shared" si="3"/>
        <v>30.101102941176471</v>
      </c>
    </row>
    <row r="215" spans="1:11" x14ac:dyDescent="0.3">
      <c r="A215" t="s">
        <v>217</v>
      </c>
      <c r="B215" s="1">
        <v>0.36299999999999999</v>
      </c>
      <c r="C215" s="1">
        <v>0.37</v>
      </c>
      <c r="D215">
        <v>160.30000000000001</v>
      </c>
      <c r="K215">
        <f t="shared" si="3"/>
        <v>36.833639705882355</v>
      </c>
    </row>
    <row r="216" spans="1:11" x14ac:dyDescent="0.3">
      <c r="A216" t="s">
        <v>218</v>
      </c>
      <c r="B216" s="1">
        <v>0.36199999999999999</v>
      </c>
      <c r="C216" s="1">
        <v>0.36</v>
      </c>
      <c r="D216">
        <v>160.30000000000001</v>
      </c>
      <c r="K216">
        <f t="shared" si="3"/>
        <v>36.833639705882355</v>
      </c>
    </row>
    <row r="217" spans="1:11" x14ac:dyDescent="0.3">
      <c r="A217" t="s">
        <v>219</v>
      </c>
      <c r="B217" s="1">
        <v>0.42299999999999999</v>
      </c>
      <c r="C217" s="1">
        <v>0.32</v>
      </c>
      <c r="D217">
        <v>141.5</v>
      </c>
      <c r="K217">
        <f t="shared" si="3"/>
        <v>32.513786764705884</v>
      </c>
    </row>
    <row r="218" spans="1:11" x14ac:dyDescent="0.3">
      <c r="A218" t="s">
        <v>220</v>
      </c>
      <c r="B218" s="1">
        <v>0.41899999999999998</v>
      </c>
      <c r="C218" s="1">
        <v>0.31</v>
      </c>
      <c r="D218">
        <v>141.5</v>
      </c>
      <c r="K218">
        <f t="shared" si="3"/>
        <v>32.513786764705884</v>
      </c>
    </row>
    <row r="219" spans="1:11" x14ac:dyDescent="0.3">
      <c r="A219" t="s">
        <v>221</v>
      </c>
      <c r="B219" s="1">
        <v>0.35899999999999999</v>
      </c>
      <c r="C219" s="1">
        <v>0.36</v>
      </c>
      <c r="D219">
        <v>191.9</v>
      </c>
      <c r="K219">
        <f t="shared" si="3"/>
        <v>44.094669117647058</v>
      </c>
    </row>
    <row r="220" spans="1:11" x14ac:dyDescent="0.3">
      <c r="A220" t="s">
        <v>222</v>
      </c>
      <c r="B220" s="1">
        <v>0.35899999999999999</v>
      </c>
      <c r="C220" s="1">
        <v>0.36</v>
      </c>
      <c r="D220">
        <v>191.9</v>
      </c>
      <c r="K220">
        <f t="shared" si="3"/>
        <v>44.094669117647058</v>
      </c>
    </row>
    <row r="221" spans="1:11" x14ac:dyDescent="0.3">
      <c r="A221" t="s">
        <v>223</v>
      </c>
      <c r="B221" s="1">
        <v>0.35199999999999998</v>
      </c>
      <c r="C221" s="1">
        <v>0.3</v>
      </c>
      <c r="D221">
        <v>112.4</v>
      </c>
      <c r="K221">
        <f t="shared" si="3"/>
        <v>25.827205882352942</v>
      </c>
    </row>
    <row r="222" spans="1:11" x14ac:dyDescent="0.3">
      <c r="A222" t="s">
        <v>224</v>
      </c>
      <c r="B222" s="1">
        <v>0.34699999999999998</v>
      </c>
      <c r="C222" s="1">
        <v>0.3</v>
      </c>
      <c r="D222">
        <v>112.4</v>
      </c>
      <c r="K222">
        <f t="shared" si="3"/>
        <v>25.827205882352942</v>
      </c>
    </row>
    <row r="223" spans="1:11" x14ac:dyDescent="0.3">
      <c r="A223" t="s">
        <v>225</v>
      </c>
      <c r="B223" s="1">
        <v>0.46800000000000003</v>
      </c>
      <c r="C223" s="1">
        <v>0.3</v>
      </c>
      <c r="D223">
        <v>156.6</v>
      </c>
      <c r="K223">
        <f t="shared" si="3"/>
        <v>35.983455882352942</v>
      </c>
    </row>
    <row r="224" spans="1:11" x14ac:dyDescent="0.3">
      <c r="A224" t="s">
        <v>226</v>
      </c>
      <c r="B224" s="1">
        <v>0.46</v>
      </c>
      <c r="C224" s="1">
        <v>0.3</v>
      </c>
      <c r="D224">
        <v>156.6</v>
      </c>
      <c r="K224">
        <f t="shared" si="3"/>
        <v>35.983455882352942</v>
      </c>
    </row>
    <row r="225" spans="1:11" x14ac:dyDescent="0.3">
      <c r="A225" t="s">
        <v>227</v>
      </c>
      <c r="B225" s="1">
        <v>0.313</v>
      </c>
      <c r="C225" s="1">
        <v>0.35</v>
      </c>
      <c r="D225">
        <v>142.19999999999999</v>
      </c>
      <c r="K225">
        <f t="shared" si="3"/>
        <v>32.674632352941174</v>
      </c>
    </row>
    <row r="226" spans="1:11" x14ac:dyDescent="0.3">
      <c r="A226" t="s">
        <v>228</v>
      </c>
      <c r="B226" s="1">
        <v>0.314</v>
      </c>
      <c r="C226" s="1">
        <v>0.36</v>
      </c>
      <c r="D226">
        <v>142.19999999999999</v>
      </c>
      <c r="K226">
        <f t="shared" si="3"/>
        <v>32.674632352941174</v>
      </c>
    </row>
    <row r="227" spans="1:11" x14ac:dyDescent="0.3">
      <c r="A227" t="s">
        <v>229</v>
      </c>
      <c r="B227" s="1">
        <v>0.29099999999999998</v>
      </c>
      <c r="C227" s="1">
        <v>0.31</v>
      </c>
      <c r="D227">
        <v>78.3</v>
      </c>
      <c r="K227">
        <f t="shared" si="3"/>
        <v>17.991727941176471</v>
      </c>
    </row>
    <row r="228" spans="1:11" x14ac:dyDescent="0.3">
      <c r="A228" t="s">
        <v>230</v>
      </c>
      <c r="B228" s="1">
        <v>0.29699999999999999</v>
      </c>
      <c r="C228" s="1">
        <v>0.32</v>
      </c>
      <c r="D228">
        <v>78.3</v>
      </c>
      <c r="K228">
        <f t="shared" si="3"/>
        <v>17.991727941176471</v>
      </c>
    </row>
    <row r="229" spans="1:11" x14ac:dyDescent="0.3">
      <c r="A229" t="s">
        <v>231</v>
      </c>
      <c r="B229" s="1">
        <v>0.48</v>
      </c>
      <c r="C229" s="1">
        <v>0.34</v>
      </c>
      <c r="D229">
        <v>141.4</v>
      </c>
      <c r="K229">
        <f t="shared" si="3"/>
        <v>32.490808823529413</v>
      </c>
    </row>
    <row r="230" spans="1:11" x14ac:dyDescent="0.3">
      <c r="A230" t="s">
        <v>232</v>
      </c>
      <c r="B230" s="1">
        <v>0.47399999999999998</v>
      </c>
      <c r="C230" s="1">
        <v>0.34</v>
      </c>
      <c r="D230">
        <v>141.4</v>
      </c>
      <c r="K230">
        <f t="shared" si="3"/>
        <v>32.490808823529413</v>
      </c>
    </row>
    <row r="231" spans="1:11" x14ac:dyDescent="0.3">
      <c r="A231" t="s">
        <v>233</v>
      </c>
      <c r="B231" s="1">
        <v>0.42599999999999999</v>
      </c>
      <c r="C231" s="1">
        <v>0.32</v>
      </c>
      <c r="D231">
        <v>139.69999999999999</v>
      </c>
      <c r="K231">
        <f t="shared" si="3"/>
        <v>32.100183823529413</v>
      </c>
    </row>
    <row r="232" spans="1:11" x14ac:dyDescent="0.3">
      <c r="A232" t="s">
        <v>234</v>
      </c>
      <c r="B232" s="1">
        <v>0.41199999999999998</v>
      </c>
      <c r="C232" s="1">
        <v>0.32</v>
      </c>
      <c r="D232">
        <v>139.69999999999999</v>
      </c>
      <c r="K232">
        <f t="shared" si="3"/>
        <v>32.100183823529413</v>
      </c>
    </row>
    <row r="233" spans="1:11" x14ac:dyDescent="0.3">
      <c r="A233" t="s">
        <v>235</v>
      </c>
      <c r="B233" s="1">
        <v>0.41399999999999998</v>
      </c>
      <c r="C233" s="1">
        <v>0.36</v>
      </c>
      <c r="D233">
        <v>188.1</v>
      </c>
      <c r="K233">
        <f t="shared" si="3"/>
        <v>43.221507352941174</v>
      </c>
    </row>
    <row r="234" spans="1:11" x14ac:dyDescent="0.3">
      <c r="A234" t="s">
        <v>236</v>
      </c>
      <c r="B234" s="1">
        <v>0.41199999999999998</v>
      </c>
      <c r="C234" s="1">
        <v>0.36</v>
      </c>
      <c r="D234">
        <v>188.1</v>
      </c>
      <c r="K234">
        <f t="shared" si="3"/>
        <v>43.221507352941174</v>
      </c>
    </row>
    <row r="235" spans="1:11" x14ac:dyDescent="0.3">
      <c r="A235" t="s">
        <v>237</v>
      </c>
      <c r="B235" s="1">
        <v>0.36</v>
      </c>
      <c r="C235" s="1">
        <v>0.31</v>
      </c>
      <c r="D235">
        <v>101.1</v>
      </c>
      <c r="K235">
        <f t="shared" si="3"/>
        <v>23.230698529411764</v>
      </c>
    </row>
    <row r="236" spans="1:11" x14ac:dyDescent="0.3">
      <c r="A236" t="s">
        <v>238</v>
      </c>
      <c r="B236" s="1">
        <v>0.36199999999999999</v>
      </c>
      <c r="C236" s="1">
        <v>0.31</v>
      </c>
      <c r="D236">
        <v>101.1</v>
      </c>
      <c r="K236">
        <f t="shared" si="3"/>
        <v>23.230698529411764</v>
      </c>
    </row>
    <row r="237" spans="1:11" x14ac:dyDescent="0.3">
      <c r="A237" t="s">
        <v>239</v>
      </c>
      <c r="B237" s="1">
        <v>0.39300000000000002</v>
      </c>
      <c r="C237" s="1">
        <v>0.36</v>
      </c>
      <c r="D237">
        <v>212.7</v>
      </c>
      <c r="K237">
        <f t="shared" si="3"/>
        <v>48.874080882352942</v>
      </c>
    </row>
    <row r="238" spans="1:11" x14ac:dyDescent="0.3">
      <c r="A238" t="s">
        <v>240</v>
      </c>
      <c r="B238" s="1">
        <v>0.39200000000000002</v>
      </c>
      <c r="C238" s="1">
        <v>0.36</v>
      </c>
      <c r="D238">
        <v>212.7</v>
      </c>
      <c r="K238">
        <f t="shared" si="3"/>
        <v>48.874080882352942</v>
      </c>
    </row>
    <row r="239" spans="1:11" x14ac:dyDescent="0.3">
      <c r="A239" t="s">
        <v>241</v>
      </c>
      <c r="B239" s="1">
        <v>0.38200000000000001</v>
      </c>
      <c r="C239" s="1">
        <v>0.37</v>
      </c>
      <c r="D239">
        <v>168.2</v>
      </c>
      <c r="K239">
        <f t="shared" si="3"/>
        <v>38.648897058823529</v>
      </c>
    </row>
    <row r="240" spans="1:11" x14ac:dyDescent="0.3">
      <c r="A240" t="s">
        <v>242</v>
      </c>
      <c r="B240" s="1">
        <v>0.38300000000000001</v>
      </c>
      <c r="C240" s="1">
        <v>0.36</v>
      </c>
      <c r="D240">
        <v>168.2</v>
      </c>
      <c r="K240">
        <f t="shared" si="3"/>
        <v>38.648897058823529</v>
      </c>
    </row>
    <row r="241" spans="1:11" x14ac:dyDescent="0.3">
      <c r="A241" t="s">
        <v>243</v>
      </c>
      <c r="B241" s="1">
        <v>0.41</v>
      </c>
      <c r="C241" s="1">
        <v>0.3</v>
      </c>
      <c r="D241">
        <v>146.30000000000001</v>
      </c>
      <c r="K241">
        <f t="shared" si="3"/>
        <v>33.616727941176471</v>
      </c>
    </row>
    <row r="242" spans="1:11" x14ac:dyDescent="0.3">
      <c r="A242" t="s">
        <v>244</v>
      </c>
      <c r="B242" s="1">
        <v>0.40600000000000003</v>
      </c>
      <c r="C242" s="1">
        <v>0.3</v>
      </c>
      <c r="D242">
        <v>146.30000000000001</v>
      </c>
      <c r="K242">
        <f t="shared" si="3"/>
        <v>33.616727941176471</v>
      </c>
    </row>
    <row r="243" spans="1:11" x14ac:dyDescent="0.3">
      <c r="A243" t="s">
        <v>245</v>
      </c>
      <c r="B243" s="1">
        <v>0.32100000000000001</v>
      </c>
      <c r="C243" s="1">
        <v>0.33</v>
      </c>
      <c r="D243">
        <v>244.2</v>
      </c>
      <c r="K243">
        <f t="shared" si="3"/>
        <v>56.112132352941174</v>
      </c>
    </row>
    <row r="244" spans="1:11" x14ac:dyDescent="0.3">
      <c r="A244" t="s">
        <v>246</v>
      </c>
      <c r="B244" s="1">
        <v>0.31900000000000001</v>
      </c>
      <c r="C244" s="1">
        <v>0.33</v>
      </c>
      <c r="D244">
        <v>244.2</v>
      </c>
      <c r="K244">
        <f t="shared" si="3"/>
        <v>56.112132352941174</v>
      </c>
    </row>
    <row r="245" spans="1:11" x14ac:dyDescent="0.3">
      <c r="A245" t="s">
        <v>247</v>
      </c>
      <c r="B245" s="1">
        <v>0.36499999999999999</v>
      </c>
      <c r="C245" s="1">
        <v>0.36</v>
      </c>
      <c r="D245">
        <v>203.4</v>
      </c>
      <c r="K245">
        <f t="shared" si="3"/>
        <v>46.737132352941174</v>
      </c>
    </row>
    <row r="246" spans="1:11" x14ac:dyDescent="0.3">
      <c r="A246" t="s">
        <v>248</v>
      </c>
      <c r="B246" s="1">
        <v>0.36399999999999999</v>
      </c>
      <c r="C246" s="1">
        <v>0.36</v>
      </c>
      <c r="D246">
        <v>203.4</v>
      </c>
      <c r="K246">
        <f t="shared" si="3"/>
        <v>46.737132352941174</v>
      </c>
    </row>
    <row r="247" spans="1:11" x14ac:dyDescent="0.3">
      <c r="A247" t="s">
        <v>249</v>
      </c>
      <c r="B247" s="1">
        <v>0.44</v>
      </c>
      <c r="C247" s="1">
        <v>0.3</v>
      </c>
      <c r="D247">
        <v>169.8</v>
      </c>
      <c r="K247">
        <f t="shared" si="3"/>
        <v>39.016544117647058</v>
      </c>
    </row>
    <row r="248" spans="1:11" x14ac:dyDescent="0.3">
      <c r="A248" t="s">
        <v>250</v>
      </c>
      <c r="B248" s="1">
        <v>0.435</v>
      </c>
      <c r="C248" s="1">
        <v>0.3</v>
      </c>
      <c r="D248">
        <v>169.8</v>
      </c>
      <c r="K248">
        <f t="shared" si="3"/>
        <v>39.016544117647058</v>
      </c>
    </row>
    <row r="249" spans="1:11" x14ac:dyDescent="0.3">
      <c r="A249" t="s">
        <v>251</v>
      </c>
      <c r="B249" s="1">
        <v>0.38400000000000001</v>
      </c>
      <c r="C249" s="1">
        <v>0.31</v>
      </c>
      <c r="D249">
        <v>190.2</v>
      </c>
      <c r="K249">
        <f t="shared" si="3"/>
        <v>43.704044117647058</v>
      </c>
    </row>
    <row r="250" spans="1:11" x14ac:dyDescent="0.3">
      <c r="A250" t="s">
        <v>252</v>
      </c>
      <c r="B250" s="1">
        <v>0.39200000000000002</v>
      </c>
      <c r="C250" s="1">
        <v>0.31</v>
      </c>
      <c r="D250">
        <v>190.2</v>
      </c>
      <c r="K250">
        <f t="shared" si="3"/>
        <v>43.704044117647058</v>
      </c>
    </row>
    <row r="251" spans="1:11" x14ac:dyDescent="0.3">
      <c r="A251" t="s">
        <v>253</v>
      </c>
      <c r="B251" s="1">
        <v>0.36599999999999999</v>
      </c>
      <c r="C251" s="1">
        <v>0.36</v>
      </c>
      <c r="D251">
        <v>202.4</v>
      </c>
      <c r="K251">
        <f t="shared" si="3"/>
        <v>46.507352941176471</v>
      </c>
    </row>
    <row r="252" spans="1:11" x14ac:dyDescent="0.3">
      <c r="A252" t="s">
        <v>254</v>
      </c>
      <c r="B252" s="1">
        <v>0.36199999999999999</v>
      </c>
      <c r="C252" s="1">
        <v>0.36</v>
      </c>
      <c r="D252">
        <v>202.4</v>
      </c>
      <c r="K252">
        <f t="shared" si="3"/>
        <v>46.507352941176471</v>
      </c>
    </row>
    <row r="253" spans="1:11" x14ac:dyDescent="0.3">
      <c r="A253" t="s">
        <v>255</v>
      </c>
      <c r="B253" s="1">
        <v>0.39300000000000002</v>
      </c>
      <c r="C253" s="1">
        <v>0.3</v>
      </c>
      <c r="D253">
        <v>120.7</v>
      </c>
      <c r="K253">
        <f t="shared" si="3"/>
        <v>27.734375</v>
      </c>
    </row>
    <row r="254" spans="1:11" x14ac:dyDescent="0.3">
      <c r="A254" t="s">
        <v>256</v>
      </c>
      <c r="B254" s="1">
        <v>0.39400000000000002</v>
      </c>
      <c r="C254" s="1">
        <v>0.3</v>
      </c>
      <c r="D254">
        <v>120.7</v>
      </c>
      <c r="K254">
        <f t="shared" si="3"/>
        <v>27.734375</v>
      </c>
    </row>
    <row r="255" spans="1:11" x14ac:dyDescent="0.3">
      <c r="A255" t="s">
        <v>257</v>
      </c>
      <c r="B255" s="1">
        <v>0.28999999999999998</v>
      </c>
      <c r="C255" s="1">
        <v>0.36</v>
      </c>
      <c r="D255">
        <v>122.1</v>
      </c>
      <c r="K255">
        <f t="shared" si="3"/>
        <v>28.056066176470587</v>
      </c>
    </row>
    <row r="256" spans="1:11" x14ac:dyDescent="0.3">
      <c r="A256" t="s">
        <v>258</v>
      </c>
      <c r="B256" s="1">
        <v>0.28499999999999998</v>
      </c>
      <c r="C256" s="1">
        <v>0.35</v>
      </c>
      <c r="D256">
        <v>122.1</v>
      </c>
      <c r="K256">
        <f t="shared" si="3"/>
        <v>28.056066176470587</v>
      </c>
    </row>
    <row r="257" spans="1:11" x14ac:dyDescent="0.3">
      <c r="A257" t="s">
        <v>259</v>
      </c>
      <c r="B257" s="1">
        <v>0.36899999999999999</v>
      </c>
      <c r="C257" s="1">
        <v>0.36</v>
      </c>
      <c r="D257">
        <v>144.9</v>
      </c>
      <c r="K257">
        <f t="shared" si="3"/>
        <v>33.295036764705884</v>
      </c>
    </row>
    <row r="258" spans="1:11" x14ac:dyDescent="0.3">
      <c r="A258" t="s">
        <v>260</v>
      </c>
      <c r="B258" s="1">
        <v>0.36899999999999999</v>
      </c>
      <c r="C258" s="1">
        <v>0.37</v>
      </c>
      <c r="D258">
        <v>144.9</v>
      </c>
      <c r="K258">
        <f t="shared" si="3"/>
        <v>33.295036764705884</v>
      </c>
    </row>
    <row r="259" spans="1:11" x14ac:dyDescent="0.3">
      <c r="A259" t="s">
        <v>261</v>
      </c>
      <c r="B259" s="1">
        <v>0.376</v>
      </c>
      <c r="C259" s="1">
        <v>0.36</v>
      </c>
      <c r="D259">
        <v>151.9</v>
      </c>
      <c r="K259">
        <f t="shared" ref="K259:K280" si="4">D259*10^6*$H$9/$H$7</f>
        <v>34.903492647058826</v>
      </c>
    </row>
    <row r="260" spans="1:11" x14ac:dyDescent="0.3">
      <c r="A260" t="s">
        <v>262</v>
      </c>
      <c r="B260" s="1">
        <v>0.374</v>
      </c>
      <c r="C260" s="1">
        <v>0.36</v>
      </c>
      <c r="D260">
        <v>151.9</v>
      </c>
      <c r="K260">
        <f t="shared" si="4"/>
        <v>34.903492647058826</v>
      </c>
    </row>
    <row r="261" spans="1:11" x14ac:dyDescent="0.3">
      <c r="A261" t="s">
        <v>263</v>
      </c>
      <c r="B261" s="1">
        <v>0.33200000000000002</v>
      </c>
      <c r="C261" s="1">
        <v>0.35</v>
      </c>
      <c r="D261">
        <v>265.2</v>
      </c>
      <c r="K261">
        <f t="shared" si="4"/>
        <v>60.9375</v>
      </c>
    </row>
    <row r="262" spans="1:11" x14ac:dyDescent="0.3">
      <c r="A262" t="s">
        <v>264</v>
      </c>
      <c r="B262" s="1">
        <v>0.32500000000000001</v>
      </c>
      <c r="C262" s="1">
        <v>0.36</v>
      </c>
      <c r="D262">
        <v>265.2</v>
      </c>
      <c r="K262">
        <f t="shared" si="4"/>
        <v>60.9375</v>
      </c>
    </row>
    <row r="263" spans="1:11" x14ac:dyDescent="0.3">
      <c r="A263" t="s">
        <v>265</v>
      </c>
      <c r="B263" s="1">
        <v>0.41699999999999998</v>
      </c>
      <c r="C263" s="1">
        <v>0.35</v>
      </c>
      <c r="D263">
        <v>214.9</v>
      </c>
      <c r="K263">
        <f t="shared" si="4"/>
        <v>49.379595588235297</v>
      </c>
    </row>
    <row r="264" spans="1:11" x14ac:dyDescent="0.3">
      <c r="A264" t="s">
        <v>266</v>
      </c>
      <c r="B264" s="1">
        <v>0.41299999999999998</v>
      </c>
      <c r="C264" s="1">
        <v>0.34</v>
      </c>
      <c r="D264">
        <v>214.9</v>
      </c>
      <c r="K264">
        <f t="shared" si="4"/>
        <v>49.379595588235297</v>
      </c>
    </row>
    <row r="265" spans="1:11" x14ac:dyDescent="0.3">
      <c r="A265" t="s">
        <v>267</v>
      </c>
      <c r="B265" s="1">
        <v>0.40600000000000003</v>
      </c>
      <c r="C265" s="1">
        <v>0.35</v>
      </c>
      <c r="D265">
        <v>163.4</v>
      </c>
      <c r="K265">
        <f t="shared" si="4"/>
        <v>37.545955882352942</v>
      </c>
    </row>
    <row r="266" spans="1:11" x14ac:dyDescent="0.3">
      <c r="A266" t="s">
        <v>268</v>
      </c>
      <c r="B266" s="1">
        <v>0.40300000000000002</v>
      </c>
      <c r="C266" s="1">
        <v>0.35</v>
      </c>
      <c r="D266">
        <v>163.4</v>
      </c>
      <c r="K266">
        <f t="shared" si="4"/>
        <v>37.545955882352942</v>
      </c>
    </row>
    <row r="267" spans="1:11" x14ac:dyDescent="0.3">
      <c r="A267" t="s">
        <v>269</v>
      </c>
      <c r="B267" s="1">
        <v>0.33300000000000002</v>
      </c>
      <c r="C267" s="1">
        <v>0.36</v>
      </c>
      <c r="D267">
        <v>200.9</v>
      </c>
      <c r="K267">
        <f t="shared" si="4"/>
        <v>46.162683823529413</v>
      </c>
    </row>
    <row r="268" spans="1:11" x14ac:dyDescent="0.3">
      <c r="A268" t="s">
        <v>270</v>
      </c>
      <c r="B268" s="1">
        <v>0.32800000000000001</v>
      </c>
      <c r="C268" s="1">
        <v>0.35</v>
      </c>
      <c r="D268">
        <v>200.9</v>
      </c>
      <c r="K268">
        <f t="shared" si="4"/>
        <v>46.162683823529413</v>
      </c>
    </row>
    <row r="269" spans="1:11" x14ac:dyDescent="0.3">
      <c r="A269" t="s">
        <v>271</v>
      </c>
      <c r="B269" s="1">
        <v>0.316</v>
      </c>
      <c r="C269" s="1">
        <v>0.35</v>
      </c>
      <c r="D269">
        <v>124.1</v>
      </c>
      <c r="K269">
        <f t="shared" si="4"/>
        <v>28.515625</v>
      </c>
    </row>
    <row r="270" spans="1:11" x14ac:dyDescent="0.3">
      <c r="A270" t="s">
        <v>272</v>
      </c>
      <c r="B270" s="1">
        <v>0.314</v>
      </c>
      <c r="C270" s="1">
        <v>0.35</v>
      </c>
      <c r="D270">
        <v>124.1</v>
      </c>
      <c r="K270">
        <f t="shared" si="4"/>
        <v>28.515625</v>
      </c>
    </row>
    <row r="271" spans="1:11" x14ac:dyDescent="0.3">
      <c r="A271" t="s">
        <v>273</v>
      </c>
      <c r="B271" s="1">
        <v>0.378</v>
      </c>
      <c r="C271" s="1">
        <v>0.37</v>
      </c>
      <c r="D271">
        <v>228.7</v>
      </c>
      <c r="K271">
        <f t="shared" si="4"/>
        <v>52.550551470588232</v>
      </c>
    </row>
    <row r="272" spans="1:11" x14ac:dyDescent="0.3">
      <c r="A272" t="s">
        <v>274</v>
      </c>
      <c r="B272" s="1">
        <v>0.377</v>
      </c>
      <c r="C272" s="1">
        <v>0.37</v>
      </c>
      <c r="D272">
        <v>228.7</v>
      </c>
      <c r="K272">
        <f t="shared" si="4"/>
        <v>52.550551470588232</v>
      </c>
    </row>
    <row r="273" spans="1:11" x14ac:dyDescent="0.3">
      <c r="A273" t="s">
        <v>275</v>
      </c>
      <c r="B273" s="1">
        <v>0.32700000000000001</v>
      </c>
      <c r="C273" s="1">
        <v>0.35</v>
      </c>
      <c r="D273">
        <v>161.69999999999999</v>
      </c>
      <c r="K273">
        <f t="shared" si="4"/>
        <v>37.155330882352942</v>
      </c>
    </row>
    <row r="274" spans="1:11" x14ac:dyDescent="0.3">
      <c r="A274" t="s">
        <v>276</v>
      </c>
      <c r="B274" s="1">
        <v>0.32800000000000001</v>
      </c>
      <c r="C274" s="1">
        <v>0.34</v>
      </c>
      <c r="D274">
        <v>161.69999999999999</v>
      </c>
      <c r="K274">
        <f t="shared" si="4"/>
        <v>37.155330882352942</v>
      </c>
    </row>
    <row r="275" spans="1:11" x14ac:dyDescent="0.3">
      <c r="A275" t="s">
        <v>277</v>
      </c>
      <c r="B275" s="1">
        <v>0.36899999999999999</v>
      </c>
      <c r="C275" s="1">
        <v>0.37</v>
      </c>
      <c r="D275">
        <v>213.8</v>
      </c>
      <c r="K275">
        <f t="shared" si="4"/>
        <v>49.126838235294116</v>
      </c>
    </row>
    <row r="276" spans="1:11" x14ac:dyDescent="0.3">
      <c r="A276" t="s">
        <v>278</v>
      </c>
      <c r="B276" s="1">
        <v>0.36499999999999999</v>
      </c>
      <c r="C276" s="1">
        <v>0.36</v>
      </c>
      <c r="D276">
        <v>213.8</v>
      </c>
      <c r="K276">
        <f t="shared" si="4"/>
        <v>49.126838235294116</v>
      </c>
    </row>
    <row r="277" spans="1:11" x14ac:dyDescent="0.3">
      <c r="A277" t="s">
        <v>279</v>
      </c>
      <c r="B277" s="1">
        <v>0.32500000000000001</v>
      </c>
      <c r="C277" s="1">
        <v>0.34</v>
      </c>
      <c r="D277">
        <v>162.1</v>
      </c>
      <c r="K277">
        <f t="shared" si="4"/>
        <v>37.247242647058826</v>
      </c>
    </row>
    <row r="278" spans="1:11" x14ac:dyDescent="0.3">
      <c r="A278" t="s">
        <v>280</v>
      </c>
      <c r="B278" s="1">
        <v>0.32500000000000001</v>
      </c>
      <c r="C278" s="1">
        <v>0.34</v>
      </c>
      <c r="D278">
        <v>162.1</v>
      </c>
      <c r="K278">
        <f t="shared" si="4"/>
        <v>37.247242647058826</v>
      </c>
    </row>
    <row r="279" spans="1:11" x14ac:dyDescent="0.3">
      <c r="A279" t="s">
        <v>281</v>
      </c>
      <c r="B279" s="1">
        <v>0.32800000000000001</v>
      </c>
      <c r="C279" s="1">
        <v>0.35</v>
      </c>
      <c r="D279">
        <v>247.2</v>
      </c>
      <c r="K279">
        <f t="shared" si="4"/>
        <v>56.801470588235297</v>
      </c>
    </row>
    <row r="280" spans="1:11" x14ac:dyDescent="0.3">
      <c r="A280" t="s">
        <v>282</v>
      </c>
      <c r="B280" s="1">
        <v>0.32100000000000001</v>
      </c>
      <c r="C280" s="1">
        <v>0.36</v>
      </c>
      <c r="D280">
        <v>247.2</v>
      </c>
      <c r="K280">
        <f t="shared" si="4"/>
        <v>56.801470588235297</v>
      </c>
    </row>
  </sheetData>
  <pageMargins left="0.7" right="0.7" top="0.75" bottom="0.75" header="0.3" footer="0.3"/>
  <pageSetup orientation="portrait" r:id="rId1"/>
  <ignoredErrors>
    <ignoredError sqref="H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Strand</dc:creator>
  <cp:lastModifiedBy>Emma Strand</cp:lastModifiedBy>
  <dcterms:created xsi:type="dcterms:W3CDTF">2015-06-05T18:17:20Z</dcterms:created>
  <dcterms:modified xsi:type="dcterms:W3CDTF">2026-08-26T17:15:13Z</dcterms:modified>
</cp:coreProperties>
</file>